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Raheem Adetunju(Project Portfolio)\"/>
    </mc:Choice>
  </mc:AlternateContent>
  <xr:revisionPtr revIDLastSave="0" documentId="8_{F39A57E0-D966-4F2B-94A2-C09032D2939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nalysis" sheetId="2" r:id="rId1"/>
    <sheet name="Health Dataset" sheetId="1" r:id="rId2"/>
    <sheet name="DASHBOARD" sheetId="3" r:id="rId3"/>
  </sheets>
  <definedNames>
    <definedName name="ExternalData_1" localSheetId="1" hidden="1">'Health Dataset'!$B$1:$M$201</definedName>
    <definedName name="Slicer_Age3">#N/A</definedName>
    <definedName name="Slicer_City4">#N/A</definedName>
    <definedName name="Slicer_Diagnosis6">#N/A</definedName>
    <definedName name="Slicer_Gender1">#N/A</definedName>
    <definedName name="Slicer_Hospital">#N/A</definedName>
    <definedName name="Slicer_Length_of_Stay">#N/A</definedName>
    <definedName name="Slicer_Monthly_Admission7">#N/A</definedName>
    <definedName name="Slicer_Outcome">#N/A</definedName>
  </definedNames>
  <calcPr calcId="181029"/>
  <pivotCaches>
    <pivotCache cacheId="3" r:id="rId4"/>
  </pivotCaches>
  <fileRecoveryPr repairLoad="1"/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1" i="1" l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K26" i="2"/>
  <c r="K25" i="2"/>
  <c r="G24" i="2"/>
  <c r="I21" i="2"/>
  <c r="I17" i="2"/>
  <c r="K12" i="2"/>
  <c r="K11" i="2"/>
  <c r="I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lthcare_dataset" type="6" refreshedVersion="2" background="1" saveData="1">
    <textPr sourceFile="C:\Users\USER\Desktop\healthcare_dataset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<sst xmlns="http://schemas.openxmlformats.org/spreadsheetml/2006/main" count="1624" uniqueCount="350">
  <si>
    <t>City With Highest Patient</t>
  </si>
  <si>
    <t>Age by Patient</t>
  </si>
  <si>
    <t>Gender Distribution</t>
  </si>
  <si>
    <t>City</t>
  </si>
  <si>
    <t>Count of Patient_ID</t>
  </si>
  <si>
    <t>Count of Treatment_Cost</t>
  </si>
  <si>
    <t>Diagnosis</t>
  </si>
  <si>
    <t>Age</t>
  </si>
  <si>
    <t>Gender</t>
  </si>
  <si>
    <t>Count of Patient_ID2</t>
  </si>
  <si>
    <t>Abuja</t>
  </si>
  <si>
    <t>Hospital</t>
  </si>
  <si>
    <t>Asthma</t>
  </si>
  <si>
    <t>COVID-19</t>
  </si>
  <si>
    <t>Diabetes</t>
  </si>
  <si>
    <t>Hypertension</t>
  </si>
  <si>
    <t>Malaria</t>
  </si>
  <si>
    <t>Grand Total</t>
  </si>
  <si>
    <t>Count of Diagnosis</t>
  </si>
  <si>
    <t>18-22</t>
  </si>
  <si>
    <t>Female</t>
  </si>
  <si>
    <t>Ibadan</t>
  </si>
  <si>
    <t>Abuja Clinic</t>
  </si>
  <si>
    <t>23-27</t>
  </si>
  <si>
    <t>Male</t>
  </si>
  <si>
    <t>Lagos</t>
  </si>
  <si>
    <t>City Care</t>
  </si>
  <si>
    <t>28-32</t>
  </si>
  <si>
    <t>Port Harcourt</t>
  </si>
  <si>
    <t>Lagos General</t>
  </si>
  <si>
    <t>33-37</t>
  </si>
  <si>
    <t>Distinct Count of Gender</t>
  </si>
  <si>
    <t>St Mary Hospital</t>
  </si>
  <si>
    <t>38-42</t>
  </si>
  <si>
    <t>Most common Disease</t>
  </si>
  <si>
    <t>43-47</t>
  </si>
  <si>
    <t>Distinct Count of Patient_ID</t>
  </si>
  <si>
    <t>Gender by Disease Analysis</t>
  </si>
  <si>
    <t>48-52</t>
  </si>
  <si>
    <t>Count of Gender</t>
  </si>
  <si>
    <t>53-57</t>
  </si>
  <si>
    <t>58-62</t>
  </si>
  <si>
    <t>63-67</t>
  </si>
  <si>
    <t>68-72</t>
  </si>
  <si>
    <t>73-77</t>
  </si>
  <si>
    <t>Sum of Treatment_Cost</t>
  </si>
  <si>
    <t>78-79</t>
  </si>
  <si>
    <t>Average Treatment cost per Disease</t>
  </si>
  <si>
    <t>Average of Treatment_Cost</t>
  </si>
  <si>
    <t>Count of Outcome</t>
  </si>
  <si>
    <t>Outcome</t>
  </si>
  <si>
    <t>Average of Length_of_Stay</t>
  </si>
  <si>
    <t>Average Cost by City</t>
  </si>
  <si>
    <t>Death</t>
  </si>
  <si>
    <t>Recovered</t>
  </si>
  <si>
    <t>Mortality &amp; Discharge Rate</t>
  </si>
  <si>
    <t>Monthly Admission Trend</t>
  </si>
  <si>
    <t>Monthly_Admission</t>
  </si>
  <si>
    <t>Count of Admission_Date</t>
  </si>
  <si>
    <t>Recovery Rate  by Hospital</t>
  </si>
  <si>
    <t>Relationship between Cost &amp; Age</t>
  </si>
  <si>
    <t>Jan</t>
  </si>
  <si>
    <t>May</t>
  </si>
  <si>
    <t>Apr</t>
  </si>
  <si>
    <t>Total Mortality &amp; Discharge</t>
  </si>
  <si>
    <t>Feb</t>
  </si>
  <si>
    <t>Mar</t>
  </si>
  <si>
    <t>Jun</t>
  </si>
  <si>
    <t>Length of Stay vs Cost</t>
  </si>
  <si>
    <t>Length_of_Stay</t>
  </si>
  <si>
    <t>Monthly Revenue Trend</t>
  </si>
  <si>
    <t>1-2</t>
  </si>
  <si>
    <t>Revenue</t>
  </si>
  <si>
    <t>3-4</t>
  </si>
  <si>
    <t>5-6</t>
  </si>
  <si>
    <t>7-8</t>
  </si>
  <si>
    <t>9-10</t>
  </si>
  <si>
    <t>11-12</t>
  </si>
  <si>
    <t>13-14</t>
  </si>
  <si>
    <t>(blank)</t>
  </si>
  <si>
    <t>Hospital Performance</t>
  </si>
  <si>
    <t>Monthly Admission per Disease</t>
  </si>
  <si>
    <t>Highest Revenue Generated Hospital</t>
  </si>
  <si>
    <t>Diagnostic Treatment Cost by Hospital</t>
  </si>
  <si>
    <t>Cost of Treatment per City</t>
  </si>
  <si>
    <t xml:space="preserve">Cost of Treatment </t>
  </si>
  <si>
    <t>Patient_ID</t>
  </si>
  <si>
    <t>Admission_Date</t>
  </si>
  <si>
    <t>Treatment_Cost</t>
  </si>
  <si>
    <t>Discharge_Date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</si>
  <si>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</si>
  <si>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</si>
  <si>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</si>
  <si>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</si>
  <si>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</si>
  <si>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</si>
  <si>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</si>
  <si>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</si>
  <si>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</si>
  <si>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</si>
  <si>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</si>
  <si>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</si>
  <si>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</si>
  <si>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</si>
  <si>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</si>
  <si>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</si>
  <si>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</si>
  <si>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</si>
  <si>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</si>
  <si>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</si>
  <si>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</si>
  <si>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</si>
  <si>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</si>
  <si>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</si>
  <si>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</si>
  <si>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</si>
  <si>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</si>
  <si>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</si>
  <si>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</si>
  <si>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</si>
  <si>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</si>
  <si>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</si>
  <si>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</si>
  <si>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</si>
  <si>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</si>
  <si>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</si>
  <si>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</si>
  <si>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</si>
  <si>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</si>
  <si>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</si>
  <si>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</si>
  <si>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</si>
  <si>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</si>
  <si>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</si>
  <si>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</si>
  <si>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</si>
  <si>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</si>
  <si>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</si>
  <si>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</si>
  <si>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</si>
  <si>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</si>
  <si>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</si>
  <si>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</si>
  <si>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</si>
  <si>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</si>
  <si>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</si>
  <si>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</si>
  <si>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</si>
  <si>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</si>
  <si>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</si>
  <si>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</si>
  <si>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</si>
  <si>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</si>
  <si>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</si>
  <si>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</si>
  <si>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</si>
  <si>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</si>
  <si>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</si>
  <si>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</si>
  <si>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</si>
  <si>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</si>
  <si>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</si>
  <si>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</si>
  <si>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</si>
  <si>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</si>
  <si>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</si>
  <si>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</si>
  <si>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</si>
  <si>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</si>
  <si>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</si>
  <si>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</si>
  <si>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</si>
  <si>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</si>
  <si>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</si>
  <si>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</si>
  <si>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</si>
  <si>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</si>
  <si>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</si>
  <si>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</si>
  <si>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</si>
  <si>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</si>
  <si>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</si>
  <si>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</si>
  <si>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</si>
  <si>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</si>
  <si>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</si>
  <si>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</si>
  <si>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</si>
  <si>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</si>
  <si>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</si>
  <si>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</si>
  <si>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</si>
  <si>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</si>
  <si>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</si>
  <si>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</si>
  <si>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</si>
  <si>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</si>
  <si>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</si>
  <si>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</si>
  <si>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</si>
  <si>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</si>
  <si>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</si>
  <si>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</si>
  <si>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</si>
  <si>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</si>
  <si>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</si>
  <si>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</si>
  <si>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</si>
  <si>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</si>
  <si>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</si>
  <si>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</si>
  <si>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</si>
  <si>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</si>
  <si>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</si>
  <si>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</si>
  <si>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</si>
  <si>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</si>
  <si>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</si>
  <si>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</si>
  <si>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</si>
  <si>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</si>
  <si>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</si>
  <si>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</si>
  <si>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</si>
  <si>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</si>
  <si>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</si>
  <si>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</si>
  <si>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</si>
  <si>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</si>
  <si>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</si>
  <si>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</si>
  <si>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</si>
  <si>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</si>
  <si>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</si>
  <si>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</si>
  <si>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</si>
  <si>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</si>
  <si>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</si>
  <si>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</si>
  <si>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</si>
  <si>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</si>
  <si>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</si>
  <si>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</si>
  <si>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</si>
  <si>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</si>
  <si>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</si>
  <si>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</si>
  <si>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</si>
  <si>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</si>
  <si>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</si>
  <si>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</si>
  <si>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</si>
  <si>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</si>
  <si>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</si>
  <si>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</si>
  <si>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</si>
  <si>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</si>
  <si>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</si>
  <si>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</si>
  <si>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</si>
  <si>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</si>
  <si>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</si>
  <si>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</si>
  <si>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</si>
  <si>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</si>
  <si>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</si>
  <si>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</si>
  <si>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</si>
  <si>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</si>
  <si>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</si>
  <si>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</si>
  <si>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</si>
  <si>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</si>
  <si>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</si>
  <si>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</si>
  <si>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</si>
  <si>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</si>
  <si>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</si>
  <si>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</si>
  <si>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</si>
  <si>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</si>
  <si>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</si>
  <si>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</si>
  <si>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</si>
  <si>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</si>
  <si>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</si>
  <si>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</si>
  <si>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</si>
  <si>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</si>
  <si>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</si>
  <si>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Healthcare Insights From The Dataset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</si>
  <si>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Some hospitals achieve significantly higher recovery rates.</t>
    </r>
  </si>
  <si>
    <t>1. Admissions may increase during seasonal disease outbreaks.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</si>
  <si>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Lower recovery rates may indicate:</t>
    </r>
  </si>
  <si>
    <t>Between March and May the hospitals consistently experience high patient volume.</t>
  </si>
  <si>
    <r>
      <rPr>
        <sz val="10"/>
        <color theme="1"/>
        <rFont val="Courier New"/>
        <charset val="134"/>
      </rPr>
      <t>o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Resource shortages</t>
    </r>
  </si>
  <si>
    <t>Seasonal trends affect healthcare resource demand.</t>
  </si>
  <si>
    <r>
      <rPr>
        <sz val="10"/>
        <color theme="1"/>
        <rFont val="Courier New"/>
        <charset val="134"/>
      </rPr>
      <t>o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Staff limitations</t>
    </r>
  </si>
  <si>
    <t>1. Most patients fall within the middle-aged population, indicating higher healthcare demand among</t>
  </si>
  <si>
    <r>
      <rPr>
        <sz val="10"/>
        <color theme="1"/>
        <rFont val="Courier New"/>
        <charset val="134"/>
      </rPr>
      <t>o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Poor treatment efficiency</t>
    </r>
  </si>
  <si>
    <t>economically active individuals.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</si>
  <si>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High-performing hospitals may have:</t>
    </r>
  </si>
  <si>
    <t>Elderly patients may represent a smaller population but likely require more intensive and costly healthcare services.</t>
  </si>
  <si>
    <r>
      <rPr>
        <sz val="10"/>
        <color theme="1"/>
        <rFont val="Courier New"/>
        <charset val="134"/>
      </rPr>
      <t>o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Better medical infrastructure</t>
    </r>
  </si>
  <si>
    <t>Younger patients may primarily visit for preventive or less severe medical conditions.</t>
  </si>
  <si>
    <r>
      <rPr>
        <sz val="10"/>
        <color theme="1"/>
        <rFont val="Courier New"/>
        <charset val="134"/>
      </rPr>
      <t>o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Better patient management systems</t>
    </r>
  </si>
  <si>
    <t>1. Recovery outcomes dominate admissions, indicating effective healthcare delivery.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</si>
  <si>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Admissions increase during certain months.</t>
    </r>
  </si>
  <si>
    <t>Death or complication rates vary significantly across conditions.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</si>
  <si>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Seasonal disease outbreaks existed.</t>
    </r>
  </si>
  <si>
    <t>Certain diseases show poor treatment outcomes.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</si>
  <si>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Hospital demand fluctuates over time.</t>
    </r>
  </si>
  <si>
    <t>1. Admissions increase during certain months.</t>
  </si>
  <si>
    <r>
      <rPr>
        <sz val="10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</rPr>
      <t>Peak periods may require more healthcare resources.</t>
    </r>
  </si>
  <si>
    <t>Seasonal disease outbreaks may exist.</t>
  </si>
  <si>
    <t>Hospital demand fluctuates over time.</t>
  </si>
  <si>
    <t>1. Covid-19 dominate patient admissions, indicating major public health concerns.</t>
  </si>
  <si>
    <t>Chronic diseases like Asthma,Diabetes,Malaria and Hypertension may account for a large share of healthcare utilization.</t>
  </si>
  <si>
    <t>1. Asthma and Diabetes diseases show increasing long-term prevalence.</t>
  </si>
  <si>
    <t>Seasonal disease outbreaks affect healthcare demand.</t>
  </si>
  <si>
    <t>Emerging diseases like Covid-19 may create future healthcare risks.</t>
  </si>
  <si>
    <t>1. Certain diseases may disproportionately affect one gender.</t>
  </si>
  <si>
    <t>Gender-based lifestyle differences may influence disease prevalence.</t>
  </si>
  <si>
    <t>Healthcare utilization varies across genders.</t>
  </si>
  <si>
    <t>4. Female patients utilize healthcare services more frequently than males with 51.50% compare to 48.50%</t>
  </si>
  <si>
    <t>5. Male patients have low healthcare engagement.</t>
  </si>
  <si>
    <t>Gender imbalance in admissions may indicate unequal healthcare accessibility or awareness.</t>
  </si>
  <si>
    <t>1. Treatment costs generally increase with patient age.</t>
  </si>
  <si>
    <t>Elderly patients may require longer and more complex treatment.</t>
  </si>
  <si>
    <t>Younger patients typically incur lower healthcare expenses.</t>
  </si>
  <si>
    <t>1. Chronic and severe diseases generate significantly higher treatment costs.</t>
  </si>
  <si>
    <t>Asthma diseases consume disproportionate healthcare resources.</t>
  </si>
  <si>
    <t>Cost variation may indicate differences in treatment complexity.</t>
  </si>
  <si>
    <t>1. Most patients may experience short hospital stays, indicating efficient treatment processes.</t>
  </si>
  <si>
    <t>Long stays are likely associated with severe or chronic conditions.</t>
  </si>
  <si>
    <t>Extended hospitalization increases operational costs.</t>
  </si>
  <si>
    <t>1. Longer hospital stays significantly increase treatment costs.</t>
  </si>
  <si>
    <t>Severe illnesses drive both extended stays and high expenditure.</t>
  </si>
  <si>
    <t>Operational efficiency affects hospitalization cost.</t>
  </si>
  <si>
    <t>Abuja hospitals charge higher treatment costs followed by Lagos.</t>
  </si>
  <si>
    <t>Cost variation may reflect infrastructure differences.</t>
  </si>
  <si>
    <t>High patient concentration indicate population density effects.</t>
  </si>
  <si>
    <t>These major cities may face stronger healthcare pressure.</t>
  </si>
  <si>
    <t>1. St Mary,Lagos General and Abuja Clinic hospitals consistently achieve better recovery outcomes.</t>
  </si>
  <si>
    <t>Performance differences may reflect resource inequality.</t>
  </si>
  <si>
    <t>High-performing hospitals may have more efficient treatment systems.</t>
  </si>
  <si>
    <t>1. Recovery rates vary significantly between hospitals.</t>
  </si>
  <si>
    <t>High-performing hospitals may demonstrate superior treatment quality.</t>
  </si>
  <si>
    <t>Low recovery rates may indicate operational weaknesses.</t>
  </si>
  <si>
    <t>Summary of The Insights From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</si>
</sst>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_);[Red]\(0\)"/>
    <numFmt numFmtId="165" formatCode="[$₦-46A]#,##0.00_);\([$₦-46A]#,##0.00\)"/>
  </numFmts>
  <fonts count="7">
    <font>
      <sz val="11"/>
      <color theme="1"/>
      <name val="Calibri"/>
      <charset val="134"/>
      <scheme val="minor"/>
    </font>
    <font>
      <b/>
      <sz val="24"/>
      <color theme="1"/>
      <name val="Times New Roman"/>
      <charset val="134"/>
    </font>
    <font>
      <sz val="10"/>
      <color theme="1"/>
      <name val="Symbol"/>
      <charset val="134"/>
    </font>
    <font>
      <sz val="10"/>
      <color theme="1"/>
      <name val="Courier New"/>
      <charset val="134"/>
    </font>
    <font>
      <b/>
      <sz val="11"/>
      <color theme="1"/>
      <name val="Calibri"/>
      <charset val="134"/>
      <scheme val="minor"/>
    </font>
    <font>
      <sz val="7"/>
      <color theme="1"/>
      <name val="Times New Roman"/>
      <charset val="134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theme="4" tint="0.7999511703848384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3" borderId="0" xfId="0" applyFont="1" applyFill="1" applyBorder="1">
      <alignment vertical="center"/>
    </xf>
    <xf numFmtId="0" fontId="0" fillId="0" borderId="0" xfId="0" applyBorder="1">
      <alignment vertical="center"/>
    </xf>
    <xf numFmtId="164" fontId="0" fillId="0" borderId="0" xfId="0" applyNumberFormat="1" applyBorder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164" fontId="0" fillId="0" borderId="0" xfId="0" applyNumberFormat="1">
      <alignment vertical="center"/>
    </xf>
    <xf numFmtId="10" fontId="0" fillId="0" borderId="0" xfId="0" applyNumberFormat="1">
      <alignment vertical="center"/>
    </xf>
    <xf numFmtId="165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452">
    <dxf>
      <numFmt numFmtId="165" formatCode="[$₦-46A]#,##0.00_);\([$₦-46A]#,##0.00\)"/>
    </dxf>
    <dxf>
      <numFmt numFmtId="169" formatCode="&quot;£&quot;#,##0.00_);[Red]\(&quot;£&quot;#,##0.00\)"/>
    </dxf>
    <dxf>
      <numFmt numFmtId="166" formatCode="0.00_);[Red]\(0.00\)"/>
    </dxf>
    <dxf>
      <numFmt numFmtId="167" formatCode="0.000_);[Red]\(0.0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8" formatCode="0.0_);[Red]\(0.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6" formatCode="0.00_);[Red]\(0.00\)"/>
    </dxf>
    <dxf>
      <numFmt numFmtId="168" formatCode="0.0_);[Red]\(0.0\)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3" formatCode="0%"/>
    </dxf>
    <dxf>
      <numFmt numFmtId="170" formatCode="0.0%"/>
    </dxf>
    <dxf>
      <numFmt numFmtId="13" formatCode="0%"/>
    </dxf>
    <dxf>
      <numFmt numFmtId="170" formatCode="0.0%"/>
    </dxf>
    <dxf>
      <numFmt numFmtId="13" formatCode="0%"/>
    </dxf>
    <dxf>
      <numFmt numFmtId="170" formatCode="0.0%"/>
    </dxf>
    <dxf>
      <numFmt numFmtId="14" formatCode="0.00%"/>
    </dxf>
    <dxf>
      <numFmt numFmtId="14" formatCode="0.00%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3" formatCode="0%"/>
    </dxf>
    <dxf>
      <numFmt numFmtId="170" formatCode="0.0%"/>
    </dxf>
    <dxf>
      <numFmt numFmtId="14" formatCode="0.00%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7" formatCode="0.000_);[Red]\(0.000\)"/>
    </dxf>
    <dxf>
      <numFmt numFmtId="166" formatCode="0.00_);[Red]\(0.00\)"/>
    </dxf>
    <dxf>
      <numFmt numFmtId="0" formatCode="General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4" formatCode="0.00%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4" formatCode="0.00%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4" formatCode="0.00%"/>
    </dxf>
    <dxf>
      <numFmt numFmtId="14" formatCode="0.00%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8" formatCode="0.0_);[Red]\(0.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4" formatCode="0.00%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7" formatCode="0.000_);[Red]\(0.0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8" formatCode="0.0_);[Red]\(0.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5" formatCode="[$₦-46A]#,##0.00_);\([$₦-46A]#,##0.00\)"/>
    </dxf>
    <dxf>
      <numFmt numFmtId="169" formatCode="&quot;£&quot;#,##0.00_);[Red]\(&quot;£&quot;#,##0.00\)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numFmt numFmtId="164" formatCode="0_);[Red]\(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4" formatCode="0.00%"/>
    </dxf>
    <dxf>
      <numFmt numFmtId="164" formatCode="0_);[Red]\(0\)"/>
    </dxf>
    <dxf>
      <numFmt numFmtId="164" formatCode="0_);[Red]\(0\)"/>
    </dxf>
    <dxf>
      <numFmt numFmtId="168" formatCode="0.0_);[Red]\(0.0\)"/>
    </dxf>
    <dxf>
      <numFmt numFmtId="168" formatCode="0.0_);[Red]\(0.0\)"/>
    </dxf>
    <dxf>
      <numFmt numFmtId="166" formatCode="0.00_);[Red]\(0.00\)"/>
    </dxf>
    <dxf>
      <numFmt numFmtId="166" formatCode="0.00_);[Red]\(0.00\)"/>
    </dxf>
    <dxf>
      <numFmt numFmtId="167" formatCode="0.000_);[Red]\(0.000\)"/>
    </dxf>
    <dxf>
      <numFmt numFmtId="167" formatCode="0.000_);[Red]\(0.000\)"/>
    </dxf>
    <dxf>
      <numFmt numFmtId="166" formatCode="0.00_);[Red]\(0.00\)"/>
    </dxf>
    <dxf>
      <numFmt numFmtId="166" formatCode="0.00_);[Red]\(0.00\)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51"/>
      <tableStyleElement type="headerRow" dxfId="450"/>
      <tableStyleElement type="totalRow" dxfId="449"/>
      <tableStyleElement type="firstColumn" dxfId="448"/>
      <tableStyleElement type="lastColumn" dxfId="447"/>
      <tableStyleElement type="firstRowStripe" dxfId="446"/>
      <tableStyleElement type="firstColumnStripe" dxfId="445"/>
    </tableStyle>
    <tableStyle name="PivotStylePreset2_Accent1" table="0" count="10" xr9:uid="{267968C8-6FFD-4C36-ACC1-9EA1FD1885CA}">
      <tableStyleElement type="headerRow" dxfId="444"/>
      <tableStyleElement type="totalRow" dxfId="443"/>
      <tableStyleElement type="firstRowStripe" dxfId="442"/>
      <tableStyleElement type="firstColumnStripe" dxfId="441"/>
      <tableStyleElement type="firstSubtotalRow" dxfId="440"/>
      <tableStyleElement type="secondSubtotalRow" dxfId="439"/>
      <tableStyleElement type="firstRowSubheading" dxfId="438"/>
      <tableStyleElement type="secondRowSubheading" dxfId="437"/>
      <tableStyleElement type="pageFieldLabels" dxfId="436"/>
      <tableStyleElement type="pageFieldValues" dxfId="435"/>
    </tableStyle>
  </tableStyles>
  <colors>
    <mruColors>
      <color rgb="FF60045B"/>
      <color rgb="FFDF3621"/>
      <color rgb="FFFEBC28"/>
      <color rgb="FFD38F62"/>
      <color rgb="FFFAF7F1"/>
      <color rgb="FFF4F7F5"/>
      <color rgb="FF5307B2"/>
      <color rgb="FF68045E"/>
      <color rgb="FFF8F3F8"/>
      <color rgb="FFFD5C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styles" Target="styles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Admission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95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357585779247602"/>
          <c:y val="0.23613707165108999"/>
          <c:w val="0.52798677139313799"/>
          <c:h val="0.718172377985461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Analysis!$B$4:$B$17</c:f>
              <c:strCache>
                <c:ptCount val="13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  <c:pt idx="3">
                  <c:v>33-37</c:v>
                </c:pt>
                <c:pt idx="4">
                  <c:v>38-42</c:v>
                </c:pt>
                <c:pt idx="5">
                  <c:v>43-47</c:v>
                </c:pt>
                <c:pt idx="6">
                  <c:v>48-52</c:v>
                </c:pt>
                <c:pt idx="7">
                  <c:v>53-57</c:v>
                </c:pt>
                <c:pt idx="8">
                  <c:v>58-62</c:v>
                </c:pt>
                <c:pt idx="9">
                  <c:v>63-67</c:v>
                </c:pt>
                <c:pt idx="10">
                  <c:v>68-72</c:v>
                </c:pt>
                <c:pt idx="11">
                  <c:v>73-77</c:v>
                </c:pt>
                <c:pt idx="12">
                  <c:v>78-79</c:v>
                </c:pt>
              </c:strCache>
            </c:strRef>
          </c:cat>
          <c:val>
            <c:numRef>
              <c:f>Analysis!$C$4:$C$17</c:f>
              <c:numCache>
                <c:formatCode>0_);[Red]\(0\)</c:formatCode>
                <c:ptCount val="13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9</c:v>
                </c:pt>
                <c:pt idx="4">
                  <c:v>21</c:v>
                </c:pt>
                <c:pt idx="5">
                  <c:v>15</c:v>
                </c:pt>
                <c:pt idx="6">
                  <c:v>14</c:v>
                </c:pt>
                <c:pt idx="7">
                  <c:v>17</c:v>
                </c:pt>
                <c:pt idx="8">
                  <c:v>17</c:v>
                </c:pt>
                <c:pt idx="9">
                  <c:v>11</c:v>
                </c:pt>
                <c:pt idx="10">
                  <c:v>16</c:v>
                </c:pt>
                <c:pt idx="11">
                  <c:v>17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2-4EFA-B943-842A898976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5842377"/>
        <c:axId val="674802685"/>
      </c:barChart>
      <c:catAx>
        <c:axId val="96584237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02685"/>
        <c:crosses val="autoZero"/>
        <c:auto val="1"/>
        <c:lblAlgn val="ctr"/>
        <c:lblOffset val="100"/>
        <c:noMultiLvlLbl val="0"/>
      </c:catAx>
      <c:valAx>
        <c:axId val="674802685"/>
        <c:scaling>
          <c:orientation val="minMax"/>
        </c:scaling>
        <c:delete val="1"/>
        <c:axPos val="b"/>
        <c:numFmt formatCode="0_);[Red]\(0\)" sourceLinked="1"/>
        <c:majorTickMark val="out"/>
        <c:minorTickMark val="none"/>
        <c:tickLblPos val="nextTo"/>
        <c:crossAx val="9658423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8a668e-58ad-4ab9-976f-8b7b965c34d3}"/>
      </c:ext>
    </c:extLst>
  </c:chart>
  <c:spPr>
    <a:solidFill>
      <a:srgbClr val="B1FFCD">
        <a:alpha val="28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Admission by Disease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Analysis!$E$10:$E$15</c:f>
              <c:strCache>
                <c:ptCount val="5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Hypertension</c:v>
                </c:pt>
                <c:pt idx="4">
                  <c:v>Malaria</c:v>
                </c:pt>
              </c:strCache>
            </c:strRef>
          </c:cat>
          <c:val>
            <c:numRef>
              <c:f>Analysis!$F$10:$F$15</c:f>
              <c:numCache>
                <c:formatCode>0_);[Red]\(0\)</c:formatCode>
                <c:ptCount val="5"/>
                <c:pt idx="0">
                  <c:v>42</c:v>
                </c:pt>
                <c:pt idx="1">
                  <c:v>43</c:v>
                </c:pt>
                <c:pt idx="2">
                  <c:v>42</c:v>
                </c:pt>
                <c:pt idx="3">
                  <c:v>33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1-4B3B-8009-995C5B52C7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02121340"/>
        <c:axId val="266453648"/>
      </c:barChart>
      <c:catAx>
        <c:axId val="9021213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53648"/>
        <c:crosses val="autoZero"/>
        <c:auto val="1"/>
        <c:lblAlgn val="ctr"/>
        <c:lblOffset val="100"/>
        <c:noMultiLvlLbl val="0"/>
      </c:catAx>
      <c:valAx>
        <c:axId val="266453648"/>
        <c:scaling>
          <c:orientation val="minMax"/>
        </c:scaling>
        <c:delete val="1"/>
        <c:axPos val="l"/>
        <c:numFmt formatCode="0_);[Red]\(0\)" sourceLinked="1"/>
        <c:majorTickMark val="out"/>
        <c:minorTickMark val="none"/>
        <c:tickLblPos val="nextTo"/>
        <c:crossAx val="9021213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dd676b-ecb3-4658-911c-c6fccd469b0d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200" b="1" i="0" u="none" strike="noStrike" kern="1200" cap="none" spc="0" normalizeH="0" baseline="0">
                  <a:solidFill>
                    <a:schemeClr val="tx1"/>
                  </a:solidFill>
                  <a:uFill>
                    <a:solidFill>
                      <a:schemeClr val="accent1"/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200" b="1" i="0" u="none" strike="noStrike" kern="1200" cap="none" spc="0" normalizeH="0" baseline="0">
                  <a:solidFill>
                    <a:schemeClr val="tx1"/>
                  </a:solidFill>
                  <a:uFill>
                    <a:solidFill>
                      <a:schemeClr val="accent1"/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200" b="1" i="0" u="none" strike="noStrike" kern="1200" cap="none" spc="0" normalizeH="0" baseline="0">
                  <a:solidFill>
                    <a:schemeClr val="tx1"/>
                  </a:solidFill>
                  <a:uFill>
                    <a:solidFill>
                      <a:schemeClr val="accent1"/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Analysis!$F$3</c:f>
              <c:strCache>
                <c:ptCount val="1"/>
                <c:pt idx="0">
                  <c:v>Count of Patient_ID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C-4008-B1C8-28F44E4C8E8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C-4008-B1C8-28F44E4C8E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accent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5C-4008-B1C8-28F44E4C8E8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accent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A5C-4008-B1C8-28F44E4C8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accent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Analysis!$E$4:$E$6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Analysis!$F$4:$F$6</c:f>
              <c:numCache>
                <c:formatCode>0.00%</c:formatCode>
                <c:ptCount val="2"/>
                <c:pt idx="0">
                  <c:v>0.51500000000000001</c:v>
                </c:pt>
                <c:pt idx="1">
                  <c:v>0.48499999999999999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5C-4008-B1C8-28F44E4C8E85}"/>
            </c:ext>
          </c:extLst>
        </c:ser>
        <c:ser>
          <c:idx val="1"/>
          <c:order val="1"/>
          <c:tx>
            <c:strRef>
              <c:f>Analysis!$G$3</c:f>
              <c:strCache>
                <c:ptCount val="1"/>
                <c:pt idx="0">
                  <c:v>Count of Patient_ID2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A5C-4008-B1C8-28F44E4C8E8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A5C-4008-B1C8-28F44E4C8E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A5C-4008-B1C8-28F44E4C8E8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A5C-4008-B1C8-28F44E4C8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Analysis!$E$4:$E$6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Analysis!$G$4:$G$6</c:f>
              <c:numCache>
                <c:formatCode>0_);[Red]\(0\)</c:formatCode>
                <c:ptCount val="2"/>
                <c:pt idx="0">
                  <c:v>103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5C-4008-B1C8-28F44E4C8E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5d4f81-e4a8-4c33-9cde-2022ae43fdfb}"/>
      </c:ext>
    </c:extLst>
  </c:chart>
  <c:spPr>
    <a:solidFill>
      <a:srgbClr val="F8F3F8">
        <a:alpha val="21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Outcome By Hospital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Analysis!$N$47:$N$48</c:f>
              <c:strCache>
                <c:ptCount val="1"/>
                <c:pt idx="0">
                  <c:v>Death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Analysis!$M$49:$M$53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Analysis!$N$49:$N$53</c:f>
              <c:numCache>
                <c:formatCode>0_);[Red]\(0\)</c:formatCode>
                <c:ptCount val="4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9-47B1-A5E8-52E1CFE5B9AE}"/>
            </c:ext>
          </c:extLst>
        </c:ser>
        <c:ser>
          <c:idx val="1"/>
          <c:order val="1"/>
          <c:tx>
            <c:strRef>
              <c:f>Analysis!$O$47:$O$48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Analysis!$M$49:$M$53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Analysis!$O$49:$O$53</c:f>
              <c:numCache>
                <c:formatCode>0_);[Red]\(0\)</c:formatCode>
                <c:ptCount val="4"/>
                <c:pt idx="0">
                  <c:v>43</c:v>
                </c:pt>
                <c:pt idx="1">
                  <c:v>35</c:v>
                </c:pt>
                <c:pt idx="2">
                  <c:v>45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9-47B1-A5E8-52E1CFE5B9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64106550"/>
        <c:axId val="194686310"/>
      </c:barChart>
      <c:catAx>
        <c:axId val="9641065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86310"/>
        <c:crosses val="autoZero"/>
        <c:auto val="1"/>
        <c:lblAlgn val="ctr"/>
        <c:lblOffset val="100"/>
        <c:noMultiLvlLbl val="0"/>
      </c:catAx>
      <c:valAx>
        <c:axId val="194686310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crossAx val="9641065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66bb75-7e2f-41c6-9165-bfc616096a0e}"/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Monthly Admission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Analysis!$N$56:$N$57</c:f>
              <c:strCache>
                <c:ptCount val="1"/>
                <c:pt idx="0">
                  <c:v>Asthma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Analysis!$M$58:$M$64</c:f>
              <c:strCache>
                <c:ptCount val="6"/>
                <c:pt idx="0">
                  <c:v>Jan</c:v>
                </c:pt>
                <c:pt idx="1">
                  <c:v>May</c:v>
                </c:pt>
                <c:pt idx="2">
                  <c:v>Apr</c:v>
                </c:pt>
                <c:pt idx="3">
                  <c:v>Feb</c:v>
                </c:pt>
                <c:pt idx="4">
                  <c:v>Mar</c:v>
                </c:pt>
                <c:pt idx="5">
                  <c:v>Jun</c:v>
                </c:pt>
              </c:strCache>
            </c:strRef>
          </c:cat>
          <c:val>
            <c:numRef>
              <c:f>Analysis!$N$58:$N$64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8-4EFF-BFEA-BA5B0D0F6387}"/>
            </c:ext>
          </c:extLst>
        </c:ser>
        <c:ser>
          <c:idx val="1"/>
          <c:order val="1"/>
          <c:tx>
            <c:strRef>
              <c:f>Analysis!$O$56:$O$57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Analysis!$M$58:$M$64</c:f>
              <c:strCache>
                <c:ptCount val="6"/>
                <c:pt idx="0">
                  <c:v>Jan</c:v>
                </c:pt>
                <c:pt idx="1">
                  <c:v>May</c:v>
                </c:pt>
                <c:pt idx="2">
                  <c:v>Apr</c:v>
                </c:pt>
                <c:pt idx="3">
                  <c:v>Feb</c:v>
                </c:pt>
                <c:pt idx="4">
                  <c:v>Mar</c:v>
                </c:pt>
                <c:pt idx="5">
                  <c:v>Jun</c:v>
                </c:pt>
              </c:strCache>
            </c:strRef>
          </c:cat>
          <c:val>
            <c:numRef>
              <c:f>Analysis!$O$58:$O$64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9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68-4EFF-BFEA-BA5B0D0F6387}"/>
            </c:ext>
          </c:extLst>
        </c:ser>
        <c:ser>
          <c:idx val="2"/>
          <c:order val="2"/>
          <c:tx>
            <c:strRef>
              <c:f>Analysis!$P$56:$P$57</c:f>
              <c:strCache>
                <c:ptCount val="1"/>
                <c:pt idx="0">
                  <c:v>Diabetes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Analysis!$M$58:$M$64</c:f>
              <c:strCache>
                <c:ptCount val="6"/>
                <c:pt idx="0">
                  <c:v>Jan</c:v>
                </c:pt>
                <c:pt idx="1">
                  <c:v>May</c:v>
                </c:pt>
                <c:pt idx="2">
                  <c:v>Apr</c:v>
                </c:pt>
                <c:pt idx="3">
                  <c:v>Feb</c:v>
                </c:pt>
                <c:pt idx="4">
                  <c:v>Mar</c:v>
                </c:pt>
                <c:pt idx="5">
                  <c:v>Jun</c:v>
                </c:pt>
              </c:strCache>
            </c:strRef>
          </c:cat>
          <c:val>
            <c:numRef>
              <c:f>Analysis!$P$58:$P$64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8-4EFF-BFEA-BA5B0D0F6387}"/>
            </c:ext>
          </c:extLst>
        </c:ser>
        <c:ser>
          <c:idx val="3"/>
          <c:order val="3"/>
          <c:tx>
            <c:strRef>
              <c:f>Analysis!$Q$56:$Q$57</c:f>
              <c:strCache>
                <c:ptCount val="1"/>
                <c:pt idx="0">
                  <c:v>Hypertension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Analysis!$M$58:$M$64</c:f>
              <c:strCache>
                <c:ptCount val="6"/>
                <c:pt idx="0">
                  <c:v>Jan</c:v>
                </c:pt>
                <c:pt idx="1">
                  <c:v>May</c:v>
                </c:pt>
                <c:pt idx="2">
                  <c:v>Apr</c:v>
                </c:pt>
                <c:pt idx="3">
                  <c:v>Feb</c:v>
                </c:pt>
                <c:pt idx="4">
                  <c:v>Mar</c:v>
                </c:pt>
                <c:pt idx="5">
                  <c:v>Jun</c:v>
                </c:pt>
              </c:strCache>
            </c:strRef>
          </c:cat>
          <c:val>
            <c:numRef>
              <c:f>Analysis!$Q$58:$Q$64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68-4EFF-BFEA-BA5B0D0F6387}"/>
            </c:ext>
          </c:extLst>
        </c:ser>
        <c:ser>
          <c:idx val="4"/>
          <c:order val="4"/>
          <c:tx>
            <c:strRef>
              <c:f>Analysis!$R$56:$R$57</c:f>
              <c:strCache>
                <c:ptCount val="1"/>
                <c:pt idx="0">
                  <c:v>Malaria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Analysis!$M$58:$M$64</c:f>
              <c:strCache>
                <c:ptCount val="6"/>
                <c:pt idx="0">
                  <c:v>Jan</c:v>
                </c:pt>
                <c:pt idx="1">
                  <c:v>May</c:v>
                </c:pt>
                <c:pt idx="2">
                  <c:v>Apr</c:v>
                </c:pt>
                <c:pt idx="3">
                  <c:v>Feb</c:v>
                </c:pt>
                <c:pt idx="4">
                  <c:v>Mar</c:v>
                </c:pt>
                <c:pt idx="5">
                  <c:v>Jun</c:v>
                </c:pt>
              </c:strCache>
            </c:strRef>
          </c:cat>
          <c:val>
            <c:numRef>
              <c:f>Analysis!$R$58:$R$64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68-4EFF-BFEA-BA5B0D0F63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61285650"/>
        <c:axId val="914488895"/>
      </c:lineChart>
      <c:catAx>
        <c:axId val="3612856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88895"/>
        <c:crosses val="autoZero"/>
        <c:auto val="1"/>
        <c:lblAlgn val="ctr"/>
        <c:lblOffset val="100"/>
        <c:noMultiLvlLbl val="0"/>
      </c:catAx>
      <c:valAx>
        <c:axId val="914488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12856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335019-607e-4ccc-b67f-13c6833f5aa5}"/>
      </c:ext>
    </c:extLst>
  </c:chart>
  <c:spPr>
    <a:solidFill>
      <a:schemeClr val="bg2">
        <a:alpha val="61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Number of Admission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323292602065E-2"/>
          <c:y val="0.19550769042968699"/>
          <c:w val="0.64814814814814803"/>
          <c:h val="0.65732307880108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Analysis!$M$10:$M$11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Analysis!$L$12:$L$16</c:f>
              <c:strCache>
                <c:ptCount val="5"/>
                <c:pt idx="0">
                  <c:v>Malaria</c:v>
                </c:pt>
                <c:pt idx="1">
                  <c:v>Hypertension</c:v>
                </c:pt>
                <c:pt idx="2">
                  <c:v>Diabetes</c:v>
                </c:pt>
                <c:pt idx="3">
                  <c:v>COVID-19</c:v>
                </c:pt>
                <c:pt idx="4">
                  <c:v>Asthma</c:v>
                </c:pt>
              </c:strCache>
            </c:strRef>
          </c:cat>
          <c:val>
            <c:numRef>
              <c:f>Analysis!$M$12:$M$16</c:f>
              <c:numCache>
                <c:formatCode>0_);[Red]\(0\)</c:formatCode>
                <c:ptCount val="5"/>
                <c:pt idx="0">
                  <c:v>18</c:v>
                </c:pt>
                <c:pt idx="1">
                  <c:v>17</c:v>
                </c:pt>
                <c:pt idx="2">
                  <c:v>23</c:v>
                </c:pt>
                <c:pt idx="3">
                  <c:v>25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1-4818-8F99-613EAFDC3127}"/>
            </c:ext>
          </c:extLst>
        </c:ser>
        <c:ser>
          <c:idx val="1"/>
          <c:order val="1"/>
          <c:tx>
            <c:strRef>
              <c:f>Analysis!$N$10:$N$11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Analysis!$L$12:$L$16</c:f>
              <c:strCache>
                <c:ptCount val="5"/>
                <c:pt idx="0">
                  <c:v>Malaria</c:v>
                </c:pt>
                <c:pt idx="1">
                  <c:v>Hypertension</c:v>
                </c:pt>
                <c:pt idx="2">
                  <c:v>Diabetes</c:v>
                </c:pt>
                <c:pt idx="3">
                  <c:v>COVID-19</c:v>
                </c:pt>
                <c:pt idx="4">
                  <c:v>Asthma</c:v>
                </c:pt>
              </c:strCache>
            </c:strRef>
          </c:cat>
          <c:val>
            <c:numRef>
              <c:f>Analysis!$N$12:$N$16</c:f>
              <c:numCache>
                <c:formatCode>0_);[Red]\(0\)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19</c:v>
                </c:pt>
                <c:pt idx="3">
                  <c:v>18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1-4818-8F99-613EAFDC31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238526181"/>
        <c:axId val="691067169"/>
      </c:barChart>
      <c:catAx>
        <c:axId val="23852618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67169"/>
        <c:crosses val="autoZero"/>
        <c:auto val="1"/>
        <c:lblAlgn val="ctr"/>
        <c:lblOffset val="100"/>
        <c:noMultiLvlLbl val="0"/>
      </c:catAx>
      <c:valAx>
        <c:axId val="691067169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crossAx val="2385261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ce17c5-4ae6-4c9e-abed-cbf4382c49bb}"/>
      </c:ext>
    </c:extLst>
  </c:chart>
  <c:spPr>
    <a:solidFill>
      <a:srgbClr val="D38F6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6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8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9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1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1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Analysis!$Q$10:$Q$11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F-481E-B9D3-FE98B7A30AB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F-481E-B9D3-FE98B7A30AB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EF-481E-B9D3-FE98B7A30AB8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EF-481E-B9D3-FE98B7A30AB8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EF-481E-B9D3-FE98B7A30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Analysis!$P$12:$P$16</c:f>
              <c:strCache>
                <c:ptCount val="5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Hypertension</c:v>
                </c:pt>
                <c:pt idx="4">
                  <c:v>Malaria</c:v>
                </c:pt>
              </c:strCache>
            </c:strRef>
          </c:cat>
          <c:val>
            <c:numRef>
              <c:f>Analysis!$Q$12:$Q$16</c:f>
              <c:numCache>
                <c:formatCode>0.00%</c:formatCode>
                <c:ptCount val="5"/>
                <c:pt idx="0">
                  <c:v>0.1</c:v>
                </c:pt>
                <c:pt idx="1">
                  <c:v>0.125</c:v>
                </c:pt>
                <c:pt idx="2">
                  <c:v>0.115</c:v>
                </c:pt>
                <c:pt idx="3">
                  <c:v>8.5000000000000006E-2</c:v>
                </c:pt>
                <c:pt idx="4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EF-481E-B9D3-FE98B7A30AB8}"/>
            </c:ext>
          </c:extLst>
        </c:ser>
        <c:ser>
          <c:idx val="1"/>
          <c:order val="1"/>
          <c:tx>
            <c:strRef>
              <c:f>Analysis!$R$10:$R$11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4EF-481E-B9D3-FE98B7A30AB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F-481E-B9D3-FE98B7A30AB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4EF-481E-B9D3-FE98B7A30AB8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4EF-481E-B9D3-FE98B7A30AB8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4EF-481E-B9D3-FE98B7A30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Analysis!$P$12:$P$16</c:f>
              <c:strCache>
                <c:ptCount val="5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Hypertension</c:v>
                </c:pt>
                <c:pt idx="4">
                  <c:v>Malaria</c:v>
                </c:pt>
              </c:strCache>
            </c:strRef>
          </c:cat>
          <c:val>
            <c:numRef>
              <c:f>Analysis!$R$12:$R$16</c:f>
              <c:numCache>
                <c:formatCode>0.00%</c:formatCode>
                <c:ptCount val="5"/>
                <c:pt idx="0">
                  <c:v>0.11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0.08</c:v>
                </c:pt>
                <c:pt idx="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4EF-481E-B9D3-FE98B7A30A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17550c-d1e4-4d4b-bfc4-59d0b503ee03}"/>
      </c:ext>
    </c:extLst>
  </c:chart>
  <c:spPr>
    <a:solidFill>
      <a:srgbClr val="FAF7F1">
        <a:alpha val="25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Outcom Distribution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tx>
            <c:rich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Death</a:t>
                </a:r>
              </a:p>
              <a:p>
                <a:pPr>
                  <a:defRPr/>
                </a:pPr>
                <a:r>
                  <a:rPr b="1">
                    <a:solidFill>
                      <a:schemeClr val="bg1"/>
                    </a:solidFill>
                  </a:rPr>
                  <a:t>12%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Analysis!$J$24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ED-42C3-945B-D86701CE8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ED-42C3-945B-D86701CE817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t>Death</a:t>
                    </a:r>
                  </a:p>
                  <a:p>
                    <a:r>
                      <a:rPr b="1">
                        <a:solidFill>
                          <a:schemeClr val="bg1"/>
                        </a:solidFill>
                      </a:rPr>
                      <a:t>12%</a:t>
                    </a: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ED-42C3-945B-D86701CE8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Analysis!$I$25:$I$27</c:f>
              <c:strCache>
                <c:ptCount val="2"/>
                <c:pt idx="0">
                  <c:v>Death</c:v>
                </c:pt>
                <c:pt idx="1">
                  <c:v>Recovered</c:v>
                </c:pt>
              </c:strCache>
            </c:strRef>
          </c:cat>
          <c:val>
            <c:numRef>
              <c:f>Analysis!$J$25:$J$27</c:f>
              <c:numCache>
                <c:formatCode>0%</c:formatCode>
                <c:ptCount val="2"/>
                <c:pt idx="0">
                  <c:v>0.12</c:v>
                </c:pt>
                <c:pt idx="1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D-42C3-945B-D86701CE817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7f0d9b-f9a3-4e8f-9c6c-fd7234827b94}"/>
      </c:ext>
    </c:extLst>
  </c:chart>
  <c:spPr>
    <a:solidFill>
      <a:srgbClr val="FEBC28">
        <a:alpha val="63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Cost of Treatment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Analysis!$B$30:$B$43</c:f>
              <c:strCache>
                <c:ptCount val="13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  <c:pt idx="3">
                  <c:v>33-37</c:v>
                </c:pt>
                <c:pt idx="4">
                  <c:v>38-42</c:v>
                </c:pt>
                <c:pt idx="5">
                  <c:v>43-47</c:v>
                </c:pt>
                <c:pt idx="6">
                  <c:v>48-52</c:v>
                </c:pt>
                <c:pt idx="7">
                  <c:v>53-57</c:v>
                </c:pt>
                <c:pt idx="8">
                  <c:v>58-62</c:v>
                </c:pt>
                <c:pt idx="9">
                  <c:v>63-67</c:v>
                </c:pt>
                <c:pt idx="10">
                  <c:v>68-72</c:v>
                </c:pt>
                <c:pt idx="11">
                  <c:v>73-77</c:v>
                </c:pt>
                <c:pt idx="12">
                  <c:v>78-79</c:v>
                </c:pt>
              </c:strCache>
            </c:strRef>
          </c:cat>
          <c:val>
            <c:numRef>
              <c:f>Analysis!$C$30:$C$43</c:f>
              <c:numCache>
                <c:formatCode>[$₦-46A]#,##0.00_);\([$₦-46A]#,##0.00\)</c:formatCode>
                <c:ptCount val="13"/>
                <c:pt idx="0">
                  <c:v>3685803</c:v>
                </c:pt>
                <c:pt idx="1">
                  <c:v>4585903</c:v>
                </c:pt>
                <c:pt idx="2">
                  <c:v>4956161</c:v>
                </c:pt>
                <c:pt idx="3">
                  <c:v>2514195</c:v>
                </c:pt>
                <c:pt idx="4">
                  <c:v>5294026</c:v>
                </c:pt>
                <c:pt idx="5">
                  <c:v>3588791</c:v>
                </c:pt>
                <c:pt idx="6">
                  <c:v>3943680</c:v>
                </c:pt>
                <c:pt idx="7">
                  <c:v>3939199</c:v>
                </c:pt>
                <c:pt idx="8">
                  <c:v>4080406</c:v>
                </c:pt>
                <c:pt idx="9">
                  <c:v>2871873</c:v>
                </c:pt>
                <c:pt idx="10">
                  <c:v>4658625</c:v>
                </c:pt>
                <c:pt idx="11">
                  <c:v>3575793</c:v>
                </c:pt>
                <c:pt idx="12">
                  <c:v>3354513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3-45F9-9751-71135CBC5F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73547983"/>
        <c:axId val="766729606"/>
      </c:barChart>
      <c:catAx>
        <c:axId val="2735479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29606"/>
        <c:crosses val="autoZero"/>
        <c:auto val="1"/>
        <c:lblAlgn val="ctr"/>
        <c:lblOffset val="100"/>
        <c:noMultiLvlLbl val="0"/>
      </c:catAx>
      <c:valAx>
        <c:axId val="766729606"/>
        <c:scaling>
          <c:orientation val="minMax"/>
        </c:scaling>
        <c:delete val="1"/>
        <c:axPos val="l"/>
        <c:numFmt formatCode="[$₦-46A]#,##0.00_);\([$₦-46A]#,##0.00\)" sourceLinked="1"/>
        <c:majorTickMark val="out"/>
        <c:minorTickMark val="none"/>
        <c:tickLblPos val="nextTo"/>
        <c:crossAx val="27354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511bbb-6b03-496a-a6f8-673df8aac25a}"/>
      </c:ext>
    </c:extLst>
  </c:chart>
  <c:spPr>
    <a:solidFill>
      <a:srgbClr val="FD5C0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Admission By Diagnostic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Analysis!$AE$29:$AE$30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Analysis!$AD$31:$AD$35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Analysis!$AE$31:$AE$35</c:f>
              <c:numCache>
                <c:formatCode>0_);[Red]\(0\)</c:formatCode>
                <c:ptCount val="4"/>
                <c:pt idx="0">
                  <c:v>11</c:v>
                </c:pt>
                <c:pt idx="1">
                  <c:v>6</c:v>
                </c:pt>
                <c:pt idx="2">
                  <c:v>13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4-4C5C-8BC2-833529A2FEA8}"/>
            </c:ext>
          </c:extLst>
        </c:ser>
        <c:ser>
          <c:idx val="1"/>
          <c:order val="1"/>
          <c:tx>
            <c:strRef>
              <c:f>Analysis!$AF$29:$AF$30</c:f>
              <c:strCache>
                <c:ptCount val="1"/>
                <c:pt idx="0">
                  <c:v>COVID-19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Analysis!$AD$31:$AD$35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Analysis!$AF$31:$AF$35</c:f>
              <c:numCache>
                <c:formatCode>0_);[Red]\(0\)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4-4C5C-8BC2-833529A2FEA8}"/>
            </c:ext>
          </c:extLst>
        </c:ser>
        <c:ser>
          <c:idx val="2"/>
          <c:order val="2"/>
          <c:tx>
            <c:strRef>
              <c:f>Analysis!$AG$29:$AG$30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Analysis!$AD$31:$AD$35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Analysis!$AG$31:$AG$35</c:f>
              <c:numCache>
                <c:formatCode>0_);[Red]\(0\)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4-4C5C-8BC2-833529A2FEA8}"/>
            </c:ext>
          </c:extLst>
        </c:ser>
        <c:ser>
          <c:idx val="3"/>
          <c:order val="3"/>
          <c:tx>
            <c:strRef>
              <c:f>Analysis!$AH$29:$AH$30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Analysis!$AD$31:$AD$35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Analysis!$AH$31:$AH$35</c:f>
              <c:numCache>
                <c:formatCode>0_);[Red]\(0\)</c:formatCode>
                <c:ptCount val="4"/>
                <c:pt idx="0">
                  <c:v>9</c:v>
                </c:pt>
                <c:pt idx="1">
                  <c:v>5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54-4C5C-8BC2-833529A2FEA8}"/>
            </c:ext>
          </c:extLst>
        </c:ser>
        <c:ser>
          <c:idx val="4"/>
          <c:order val="4"/>
          <c:tx>
            <c:strRef>
              <c:f>Analysis!$AI$29:$AI$30</c:f>
              <c:strCache>
                <c:ptCount val="1"/>
                <c:pt idx="0">
                  <c:v>Malaria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Analysis!$AD$31:$AD$35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Analysis!$AI$31:$AI$35</c:f>
              <c:numCache>
                <c:formatCode>0_);[Red]\(0\)</c:formatCode>
                <c:ptCount val="4"/>
                <c:pt idx="0">
                  <c:v>7</c:v>
                </c:pt>
                <c:pt idx="1">
                  <c:v>8</c:v>
                </c:pt>
                <c:pt idx="2">
                  <c:v>10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54-4C5C-8BC2-833529A2FE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44813415"/>
        <c:axId val="400784366"/>
      </c:barChart>
      <c:catAx>
        <c:axId val="544813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84366"/>
        <c:crosses val="autoZero"/>
        <c:auto val="1"/>
        <c:lblAlgn val="ctr"/>
        <c:lblOffset val="100"/>
        <c:noMultiLvlLbl val="0"/>
      </c:catAx>
      <c:valAx>
        <c:axId val="400784366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crossAx val="54481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438982-78a4-48c2-8197-702eec1bc88e}"/>
      </c:ext>
    </c:extLst>
  </c:chart>
  <c:spPr>
    <a:solidFill>
      <a:schemeClr val="accent4">
        <a:lumMod val="60000"/>
        <a:lumOff val="40000"/>
        <a:alpha val="6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Average Treatment Cost Per Disease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Analysis!$E$19:$E$24</c:f>
              <c:strCache>
                <c:ptCount val="5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Hypertension</c:v>
                </c:pt>
                <c:pt idx="4">
                  <c:v>Malaria</c:v>
                </c:pt>
              </c:strCache>
            </c:strRef>
          </c:cat>
          <c:val>
            <c:numRef>
              <c:f>Analysis!$F$19:$F$24</c:f>
              <c:numCache>
                <c:formatCode>[$₦-46A]#,##0.00_);\([$₦-46A]#,##0.00\)</c:formatCode>
                <c:ptCount val="5"/>
                <c:pt idx="0">
                  <c:v>266218.54761904798</c:v>
                </c:pt>
                <c:pt idx="1">
                  <c:v>242044.65116279101</c:v>
                </c:pt>
                <c:pt idx="2">
                  <c:v>249582.95238095199</c:v>
                </c:pt>
                <c:pt idx="3">
                  <c:v>261673.21212121201</c:v>
                </c:pt>
                <c:pt idx="4">
                  <c:v>258554.22500000001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4-4C07-BD04-5A62E7E8D0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52163295"/>
        <c:axId val="391651309"/>
      </c:barChart>
      <c:catAx>
        <c:axId val="7521632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51309"/>
        <c:crosses val="autoZero"/>
        <c:auto val="1"/>
        <c:lblAlgn val="ctr"/>
        <c:lblOffset val="100"/>
        <c:noMultiLvlLbl val="0"/>
      </c:catAx>
      <c:valAx>
        <c:axId val="391651309"/>
        <c:scaling>
          <c:orientation val="minMax"/>
        </c:scaling>
        <c:delete val="1"/>
        <c:axPos val="l"/>
        <c:numFmt formatCode="[$₦-46A]#,##0.00_);\([$₦-46A]#,##0.00\)" sourceLinked="1"/>
        <c:majorTickMark val="out"/>
        <c:minorTickMark val="none"/>
        <c:tickLblPos val="nextTo"/>
        <c:crossAx val="75216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5ed6f5-920d-40cb-b8fb-fdf6e287b4f8}"/>
      </c:ext>
    </c:extLst>
  </c:chart>
  <c:spPr>
    <a:solidFill>
      <a:srgbClr val="DF362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Recover</a:t>
            </a:r>
            <a:r>
              <a:rPr lang="en-GB" altLang="en-US"/>
              <a:t>y Rate By Hospital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Analysis!$Q$28:$Q$29</c:f>
              <c:strCache>
                <c:ptCount val="1"/>
                <c:pt idx="0">
                  <c:v>Death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9D-406E-B566-F025F9CB4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9D-406E-B566-F025F9CB4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9D-406E-B566-F025F9CB4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9D-406E-B566-F025F9CB47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9D-406E-B566-F025F9CB47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9D-406E-B566-F025F9CB47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9D-406E-B566-F025F9CB474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9D-406E-B566-F025F9CB4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Analysis!$P$30:$P$34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Analysis!$Q$30:$Q$34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4.4999999999999998E-2</c:v>
                </c:pt>
                <c:pt idx="2">
                  <c:v>3.5000000000000003E-2</c:v>
                </c:pt>
                <c:pt idx="3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D-406E-B566-F025F9CB4746}"/>
            </c:ext>
          </c:extLst>
        </c:ser>
        <c:ser>
          <c:idx val="1"/>
          <c:order val="1"/>
          <c:tx>
            <c:strRef>
              <c:f>Analysis!$R$28:$R$29</c:f>
              <c:strCache>
                <c:ptCount val="1"/>
                <c:pt idx="0">
                  <c:v>Recovered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C9D-406E-B566-F025F9CB4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C9D-406E-B566-F025F9CB4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C9D-406E-B566-F025F9CB4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C9D-406E-B566-F025F9CB47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EC9D-406E-B566-F025F9CB47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EC9D-406E-B566-F025F9CB47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EC9D-406E-B566-F025F9CB474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EC9D-406E-B566-F025F9CB4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Analysis!$P$30:$P$34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Analysis!$R$30:$R$34</c:f>
              <c:numCache>
                <c:formatCode>0.00%</c:formatCode>
                <c:ptCount val="4"/>
                <c:pt idx="0">
                  <c:v>0.215</c:v>
                </c:pt>
                <c:pt idx="1">
                  <c:v>0.17499999999999999</c:v>
                </c:pt>
                <c:pt idx="2">
                  <c:v>0.22500000000000001</c:v>
                </c:pt>
                <c:pt idx="3">
                  <c:v>0.26500000000000001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9D-406E-B566-F025F9CB474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dde76f-c860-4599-9c8d-0e012ce5d677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City With Highest Patient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Analysis!$L$3:$L$7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Analysis!$M$3:$M$7</c:f>
              <c:numCache>
                <c:formatCode>0_);[Red]\(0\)</c:formatCode>
                <c:ptCount val="4"/>
                <c:pt idx="0">
                  <c:v>53</c:v>
                </c:pt>
                <c:pt idx="1">
                  <c:v>53</c:v>
                </c:pt>
                <c:pt idx="2">
                  <c:v>47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5-47A7-BD5C-034E90E2B2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75297105"/>
        <c:axId val="75329575"/>
      </c:barChart>
      <c:catAx>
        <c:axId val="8752971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29575"/>
        <c:crosses val="autoZero"/>
        <c:auto val="1"/>
        <c:lblAlgn val="ctr"/>
        <c:lblOffset val="100"/>
        <c:noMultiLvlLbl val="0"/>
      </c:catAx>
      <c:valAx>
        <c:axId val="75329575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crossAx val="8752971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22b04fd-1d31-46b4-a012-cd235e15ccd4}"/>
      </c:ext>
    </c:extLst>
  </c:chart>
  <c:spPr>
    <a:solidFill>
      <a:schemeClr val="accent4">
        <a:lumMod val="60000"/>
        <a:lumOff val="40000"/>
        <a:alpha val="32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altLang="en-US">
                <a:solidFill>
                  <a:sysClr val="windowText" lastClr="000000"/>
                </a:solidFill>
              </a:rPr>
              <a:t>Average Treatment Cost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6647749769038E-2"/>
          <c:y val="0.25833333333333303"/>
          <c:w val="0.94192952355813597"/>
          <c:h val="0.48921296296296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Analysis!$P$20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Analysis!$O$21:$O$25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Analysis!$P$21:$P$25</c:f>
              <c:numCache>
                <c:formatCode>[$₦-46A]#,##0.00_);\([$₦-46A]#,##0.00\)</c:formatCode>
                <c:ptCount val="4"/>
                <c:pt idx="0">
                  <c:v>283843.66037735902</c:v>
                </c:pt>
                <c:pt idx="1">
                  <c:v>240922.66037735899</c:v>
                </c:pt>
                <c:pt idx="2">
                  <c:v>251030.531914894</c:v>
                </c:pt>
                <c:pt idx="3">
                  <c:v>243359.95744680901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5-4566-9B58-A1E7379DF2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36875908"/>
        <c:axId val="374676055"/>
      </c:barChart>
      <c:catAx>
        <c:axId val="1368759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76055"/>
        <c:crosses val="autoZero"/>
        <c:auto val="1"/>
        <c:lblAlgn val="ctr"/>
        <c:lblOffset val="100"/>
        <c:noMultiLvlLbl val="0"/>
      </c:catAx>
      <c:valAx>
        <c:axId val="374676055"/>
        <c:scaling>
          <c:orientation val="minMax"/>
        </c:scaling>
        <c:delete val="1"/>
        <c:axPos val="l"/>
        <c:numFmt formatCode="[$₦-46A]#,##0.00_);\([$₦-46A]#,##0.00\)" sourceLinked="1"/>
        <c:majorTickMark val="out"/>
        <c:minorTickMark val="none"/>
        <c:tickLblPos val="nextTo"/>
        <c:crossAx val="1368759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67b64b-b91b-4062-9f4f-951b0d543588}"/>
      </c:ext>
    </c:extLst>
  </c:chart>
  <c:spPr>
    <a:solidFill>
      <a:srgbClr val="C00000">
        <a:alpha val="15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2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altLang="en-US" sz="1020">
                <a:solidFill>
                  <a:sysClr val="windowText" lastClr="000000"/>
                </a:solidFill>
              </a:rPr>
              <a:t>Monthly Revenue By Hospital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02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8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18464660128501"/>
                  <c:h val="0.1498564985649860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06290158944877E-2"/>
          <c:y val="0.21545715457154599"/>
          <c:w val="0.96618194115657796"/>
          <c:h val="0.608774087740877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Analysis!$F$37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18464660128501"/>
                      <c:h val="0.149856498564986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D01-4E4D-9D1B-80ED28BD3D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Analysis!$E$38:$E$44</c:f>
              <c:strCache>
                <c:ptCount val="6"/>
                <c:pt idx="0">
                  <c:v>Jan</c:v>
                </c:pt>
                <c:pt idx="1">
                  <c:v>May</c:v>
                </c:pt>
                <c:pt idx="2">
                  <c:v>Apr</c:v>
                </c:pt>
                <c:pt idx="3">
                  <c:v>Feb</c:v>
                </c:pt>
                <c:pt idx="4">
                  <c:v>Mar</c:v>
                </c:pt>
                <c:pt idx="5">
                  <c:v>Jun</c:v>
                </c:pt>
              </c:strCache>
            </c:strRef>
          </c:cat>
          <c:val>
            <c:numRef>
              <c:f>Analysis!$F$38:$F$44</c:f>
              <c:numCache>
                <c:formatCode>[$₦-46A]#,##0.00_);\([$₦-46A]#,##0.00\)</c:formatCode>
                <c:ptCount val="6"/>
                <c:pt idx="0">
                  <c:v>8334007</c:v>
                </c:pt>
                <c:pt idx="1">
                  <c:v>12451712</c:v>
                </c:pt>
                <c:pt idx="2">
                  <c:v>8744972</c:v>
                </c:pt>
                <c:pt idx="3">
                  <c:v>7218359</c:v>
                </c:pt>
                <c:pt idx="4">
                  <c:v>6038056</c:v>
                </c:pt>
                <c:pt idx="5">
                  <c:v>8261862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1-4E4D-9D1B-80ED28BD3D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46366"/>
        <c:axId val="424765268"/>
      </c:barChart>
      <c:catAx>
        <c:axId val="143463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65268"/>
        <c:crosses val="autoZero"/>
        <c:auto val="1"/>
        <c:lblAlgn val="ctr"/>
        <c:lblOffset val="100"/>
        <c:noMultiLvlLbl val="0"/>
      </c:catAx>
      <c:valAx>
        <c:axId val="424765268"/>
        <c:scaling>
          <c:orientation val="minMax"/>
        </c:scaling>
        <c:delete val="1"/>
        <c:axPos val="l"/>
        <c:numFmt formatCode="[$₦-46A]#,##0.00_);\([$₦-46A]#,##0.00\)" sourceLinked="1"/>
        <c:majorTickMark val="out"/>
        <c:minorTickMark val="none"/>
        <c:tickLblPos val="nextTo"/>
        <c:crossAx val="143463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1b33cd8c-e67e-4b96-9993-de4c16550bdd}"/>
      </c:ext>
    </c:extLst>
  </c:chart>
  <c:spPr>
    <a:solidFill>
      <a:srgbClr val="0FFF6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5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Outcome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Analysis!$I$31:$I$32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Analysis!$H$33:$H$35</c:f>
              <c:strCache>
                <c:ptCount val="2"/>
                <c:pt idx="0">
                  <c:v>Death</c:v>
                </c:pt>
                <c:pt idx="1">
                  <c:v>Recovered</c:v>
                </c:pt>
              </c:strCache>
            </c:strRef>
          </c:cat>
          <c:val>
            <c:numRef>
              <c:f>Analysis!$I$33:$I$35</c:f>
              <c:numCache>
                <c:formatCode>0_);[Red]\(0\)</c:formatCode>
                <c:ptCount val="2"/>
                <c:pt idx="0">
                  <c:v>12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E-4DF5-BF7D-CD0FB66A05E8}"/>
            </c:ext>
          </c:extLst>
        </c:ser>
        <c:ser>
          <c:idx val="1"/>
          <c:order val="1"/>
          <c:tx>
            <c:strRef>
              <c:f>Analysis!$J$31:$J$32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Analysis!$H$33:$H$35</c:f>
              <c:strCache>
                <c:ptCount val="2"/>
                <c:pt idx="0">
                  <c:v>Death</c:v>
                </c:pt>
                <c:pt idx="1">
                  <c:v>Recovered</c:v>
                </c:pt>
              </c:strCache>
            </c:strRef>
          </c:cat>
          <c:val>
            <c:numRef>
              <c:f>Analysis!$J$33:$J$35</c:f>
              <c:numCache>
                <c:formatCode>0_);[Red]\(0\)</c:formatCode>
                <c:ptCount val="2"/>
                <c:pt idx="0">
                  <c:v>12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E-4DF5-BF7D-CD0FB66A05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7279566"/>
        <c:axId val="920575333"/>
      </c:areaChart>
      <c:catAx>
        <c:axId val="1072795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75333"/>
        <c:crosses val="autoZero"/>
        <c:auto val="1"/>
        <c:lblAlgn val="ctr"/>
        <c:lblOffset val="100"/>
        <c:noMultiLvlLbl val="0"/>
      </c:catAx>
      <c:valAx>
        <c:axId val="920575333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956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f80f2220-4a11-4374-88da-020135298108}"/>
      </c:ext>
    </c:extLst>
  </c:chart>
  <c:spPr>
    <a:solidFill>
      <a:schemeClr val="accent3">
        <a:lumMod val="75000"/>
        <a:alpha val="71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Excel.2026.xlsx]Analysis!PivotTable21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altLang="en-US">
                <a:solidFill>
                  <a:schemeClr val="bg1"/>
                </a:solidFill>
              </a:rPr>
              <a:t>Cost of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759407069555304E-3"/>
          <c:y val="0.24940476190476199"/>
          <c:w val="0.93728620296465204"/>
          <c:h val="0.60067460317460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Analysis!$B$21:$B$26</c:f>
              <c:strCache>
                <c:ptCount val="5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Hypertension</c:v>
                </c:pt>
                <c:pt idx="4">
                  <c:v>Malaria</c:v>
                </c:pt>
              </c:strCache>
            </c:strRef>
          </c:cat>
          <c:val>
            <c:numRef>
              <c:f>Analysis!$C$21:$C$26</c:f>
              <c:numCache>
                <c:formatCode>[$₦-46A]#,##0.00_);\([$₦-46A]#,##0.00\)</c:formatCode>
                <c:ptCount val="5"/>
                <c:pt idx="0">
                  <c:v>11181179</c:v>
                </c:pt>
                <c:pt idx="1">
                  <c:v>10407920</c:v>
                </c:pt>
                <c:pt idx="2">
                  <c:v>10482484</c:v>
                </c:pt>
                <c:pt idx="3">
                  <c:v>8635216</c:v>
                </c:pt>
                <c:pt idx="4">
                  <c:v>10342169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7-43DC-AAA4-C36B54AFEF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44097532"/>
        <c:axId val="931333356"/>
      </c:barChart>
      <c:catAx>
        <c:axId val="4440975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33356"/>
        <c:crosses val="autoZero"/>
        <c:auto val="1"/>
        <c:lblAlgn val="ctr"/>
        <c:lblOffset val="100"/>
        <c:noMultiLvlLbl val="0"/>
      </c:catAx>
      <c:valAx>
        <c:axId val="931333356"/>
        <c:scaling>
          <c:orientation val="minMax"/>
        </c:scaling>
        <c:delete val="1"/>
        <c:axPos val="l"/>
        <c:numFmt formatCode="[$₦-46A]#,##0.00_);\([$₦-46A]#,##0.00\)" sourceLinked="1"/>
        <c:majorTickMark val="out"/>
        <c:minorTickMark val="none"/>
        <c:tickLblPos val="nextTo"/>
        <c:crossAx val="4440975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909513-0878-4359-bef6-9ba359d879e8}"/>
      </c:ext>
    </c:extLst>
  </c:chart>
  <c:spPr>
    <a:solidFill>
      <a:srgbClr val="92D050">
        <a:alpha val="3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Excel.2026.xlsx]Analysis!PivotTable11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Treatment Cost Per Lenght of Stay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Analysis!$M$36:$M$44</c:f>
              <c:strCache>
                <c:ptCount val="8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  <c:pt idx="5">
                  <c:v>11-12</c:v>
                </c:pt>
                <c:pt idx="6">
                  <c:v>13-14</c:v>
                </c:pt>
                <c:pt idx="7">
                  <c:v>(blank)</c:v>
                </c:pt>
              </c:strCache>
            </c:strRef>
          </c:cat>
          <c:val>
            <c:numRef>
              <c:f>Analysis!$N$36:$N$44</c:f>
              <c:numCache>
                <c:formatCode>[$₦-46A]#,##0.00_);\([$₦-46A]#,##0.00\)</c:formatCode>
                <c:ptCount val="8"/>
                <c:pt idx="0">
                  <c:v>9604341</c:v>
                </c:pt>
                <c:pt idx="1">
                  <c:v>4677827</c:v>
                </c:pt>
                <c:pt idx="2">
                  <c:v>8311149</c:v>
                </c:pt>
                <c:pt idx="3">
                  <c:v>6376558</c:v>
                </c:pt>
                <c:pt idx="4">
                  <c:v>7407585</c:v>
                </c:pt>
                <c:pt idx="5">
                  <c:v>6659038</c:v>
                </c:pt>
                <c:pt idx="6">
                  <c:v>7645609</c:v>
                </c:pt>
                <c:pt idx="7">
                  <c:v>366861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C-4CD6-ACE2-088E316065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30941988"/>
        <c:axId val="743089805"/>
      </c:barChart>
      <c:catAx>
        <c:axId val="7309419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89805"/>
        <c:crosses val="autoZero"/>
        <c:auto val="1"/>
        <c:lblAlgn val="ctr"/>
        <c:lblOffset val="100"/>
        <c:noMultiLvlLbl val="0"/>
      </c:catAx>
      <c:valAx>
        <c:axId val="743089805"/>
        <c:scaling>
          <c:orientation val="minMax"/>
        </c:scaling>
        <c:delete val="1"/>
        <c:axPos val="l"/>
        <c:numFmt formatCode="[$₦-46A]#,##0.00_);\([$₦-46A]#,##0.00\)" sourceLinked="1"/>
        <c:majorTickMark val="none"/>
        <c:minorTickMark val="none"/>
        <c:tickLblPos val="nextTo"/>
        <c:crossAx val="7309419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2c3704d-08f4-407d-ab39-aef724f82e27}"/>
      </c:ext>
    </c:extLst>
  </c:chart>
  <c:spPr>
    <a:solidFill>
      <a:srgbClr val="7FFFAF">
        <a:alpha val="34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Excel.2026.xlsx]Analysis!PivotTable31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Diagnostic Treatment Cost by Hospital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Analysis!$C$75:$C$76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Analysis!$B$77:$B$81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Analysis!$C$77:$C$81</c:f>
              <c:numCache>
                <c:formatCode>[$₦-46A]#,##0.00_);\([$₦-46A]#,##0.00\)</c:formatCode>
                <c:ptCount val="4"/>
                <c:pt idx="0">
                  <c:v>3471595</c:v>
                </c:pt>
                <c:pt idx="1">
                  <c:v>1445918</c:v>
                </c:pt>
                <c:pt idx="2">
                  <c:v>2988669</c:v>
                </c:pt>
                <c:pt idx="3">
                  <c:v>3274997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3-4495-A3A5-9817370FE696}"/>
            </c:ext>
          </c:extLst>
        </c:ser>
        <c:ser>
          <c:idx val="1"/>
          <c:order val="1"/>
          <c:tx>
            <c:strRef>
              <c:f>Analysis!$D$75:$D$76</c:f>
              <c:strCache>
                <c:ptCount val="1"/>
                <c:pt idx="0">
                  <c:v>COVID-19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Analysis!$B$77:$B$81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Analysis!$D$77:$D$81</c:f>
              <c:numCache>
                <c:formatCode>[$₦-46A]#,##0.00_);\([$₦-46A]#,##0.00\)</c:formatCode>
                <c:ptCount val="4"/>
                <c:pt idx="0">
                  <c:v>2733786</c:v>
                </c:pt>
                <c:pt idx="1">
                  <c:v>3123850</c:v>
                </c:pt>
                <c:pt idx="2">
                  <c:v>1824003</c:v>
                </c:pt>
                <c:pt idx="3">
                  <c:v>2726281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3-4495-A3A5-9817370FE696}"/>
            </c:ext>
          </c:extLst>
        </c:ser>
        <c:ser>
          <c:idx val="2"/>
          <c:order val="2"/>
          <c:tx>
            <c:strRef>
              <c:f>Analysis!$E$75:$E$76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Analysis!$B$77:$B$81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Analysis!$E$77:$E$81</c:f>
              <c:numCache>
                <c:formatCode>[$₦-46A]#,##0.00_);\([$₦-46A]#,##0.00\)</c:formatCode>
                <c:ptCount val="4"/>
                <c:pt idx="0">
                  <c:v>1809811</c:v>
                </c:pt>
                <c:pt idx="1">
                  <c:v>2678411</c:v>
                </c:pt>
                <c:pt idx="2">
                  <c:v>2728293</c:v>
                </c:pt>
                <c:pt idx="3">
                  <c:v>3265969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3-4495-A3A5-9817370FE696}"/>
            </c:ext>
          </c:extLst>
        </c:ser>
        <c:ser>
          <c:idx val="3"/>
          <c:order val="3"/>
          <c:tx>
            <c:strRef>
              <c:f>Analysis!$F$75:$F$76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Analysis!$B$77:$B$81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Analysis!$F$77:$F$81</c:f>
              <c:numCache>
                <c:formatCode>[$₦-46A]#,##0.00_);\([$₦-46A]#,##0.00\)</c:formatCode>
                <c:ptCount val="4"/>
                <c:pt idx="0">
                  <c:v>2878260</c:v>
                </c:pt>
                <c:pt idx="1">
                  <c:v>1032811</c:v>
                </c:pt>
                <c:pt idx="2">
                  <c:v>2337846</c:v>
                </c:pt>
                <c:pt idx="3">
                  <c:v>2386299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3-4495-A3A5-9817370FE696}"/>
            </c:ext>
          </c:extLst>
        </c:ser>
        <c:ser>
          <c:idx val="4"/>
          <c:order val="4"/>
          <c:tx>
            <c:strRef>
              <c:f>Analysis!$G$75:$G$76</c:f>
              <c:strCache>
                <c:ptCount val="1"/>
                <c:pt idx="0">
                  <c:v>Malaria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Analysis!$B$77:$B$81</c:f>
              <c:strCache>
                <c:ptCount val="4"/>
                <c:pt idx="0">
                  <c:v>Abuja Clinic</c:v>
                </c:pt>
                <c:pt idx="1">
                  <c:v>City Care</c:v>
                </c:pt>
                <c:pt idx="2">
                  <c:v>Lagos General</c:v>
                </c:pt>
                <c:pt idx="3">
                  <c:v>St Mary Hospital</c:v>
                </c:pt>
              </c:strCache>
            </c:strRef>
          </c:cat>
          <c:val>
            <c:numRef>
              <c:f>Analysis!$G$77:$G$81</c:f>
              <c:numCache>
                <c:formatCode>[$₦-46A]#,##0.00_);\([$₦-46A]#,##0.00\)</c:formatCode>
                <c:ptCount val="4"/>
                <c:pt idx="0">
                  <c:v>2072400</c:v>
                </c:pt>
                <c:pt idx="1">
                  <c:v>2157882</c:v>
                </c:pt>
                <c:pt idx="2">
                  <c:v>2103117</c:v>
                </c:pt>
                <c:pt idx="3">
                  <c:v>4008770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53-4495-A3A5-9817370FE6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64691688"/>
        <c:axId val="138195228"/>
      </c:barChart>
      <c:catAx>
        <c:axId val="364691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5228"/>
        <c:crosses val="autoZero"/>
        <c:auto val="1"/>
        <c:lblAlgn val="ctr"/>
        <c:lblOffset val="100"/>
        <c:noMultiLvlLbl val="0"/>
      </c:catAx>
      <c:valAx>
        <c:axId val="1381952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₦-46A]#,##0.00_);\([$₦-46A]#,##0.00\)" sourceLinked="1"/>
        <c:majorTickMark val="out"/>
        <c:minorTickMark val="none"/>
        <c:tickLblPos val="nextTo"/>
        <c:crossAx val="36469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febbfd2-3c3f-43b3-9ce4-d513206d27f6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Excel.2026.xlsx]Analysis!PivotTable32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GB" altLang="en-US"/>
              <a:t>ost of Treatment per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Analysis!$K$77:$K$78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Analysis!$J$79:$J$83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Analysis!$K$79:$K$83</c:f>
              <c:numCache>
                <c:formatCode>[$₦-46A]#,##0.00_);\([$₦-46A]#,##0.00\)</c:formatCode>
                <c:ptCount val="4"/>
                <c:pt idx="0">
                  <c:v>3495432</c:v>
                </c:pt>
                <c:pt idx="1">
                  <c:v>1903139</c:v>
                </c:pt>
                <c:pt idx="2">
                  <c:v>2280247</c:v>
                </c:pt>
                <c:pt idx="3">
                  <c:v>3502361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6-49A5-9AC2-A2E159A4DD9E}"/>
            </c:ext>
          </c:extLst>
        </c:ser>
        <c:ser>
          <c:idx val="1"/>
          <c:order val="1"/>
          <c:tx>
            <c:strRef>
              <c:f>Analysis!$L$77:$L$78</c:f>
              <c:strCache>
                <c:ptCount val="1"/>
                <c:pt idx="0">
                  <c:v>COVID-19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Analysis!$J$79:$J$83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Analysis!$L$79:$L$83</c:f>
              <c:numCache>
                <c:formatCode>[$₦-46A]#,##0.00_);\([$₦-46A]#,##0.00\)</c:formatCode>
                <c:ptCount val="4"/>
                <c:pt idx="0">
                  <c:v>2200637</c:v>
                </c:pt>
                <c:pt idx="1">
                  <c:v>3980880</c:v>
                </c:pt>
                <c:pt idx="2">
                  <c:v>2861736</c:v>
                </c:pt>
                <c:pt idx="3">
                  <c:v>1364667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6-49A5-9AC2-A2E159A4DD9E}"/>
            </c:ext>
          </c:extLst>
        </c:ser>
        <c:ser>
          <c:idx val="2"/>
          <c:order val="2"/>
          <c:tx>
            <c:strRef>
              <c:f>Analysis!$M$77:$M$78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Analysis!$J$79:$J$83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Analysis!$M$79:$M$83</c:f>
              <c:numCache>
                <c:formatCode>[$₦-46A]#,##0.00_);\([$₦-46A]#,##0.00\)</c:formatCode>
                <c:ptCount val="4"/>
                <c:pt idx="0">
                  <c:v>4208583</c:v>
                </c:pt>
                <c:pt idx="1">
                  <c:v>2344503</c:v>
                </c:pt>
                <c:pt idx="2">
                  <c:v>1659120</c:v>
                </c:pt>
                <c:pt idx="3">
                  <c:v>2270278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6-49A5-9AC2-A2E159A4DD9E}"/>
            </c:ext>
          </c:extLst>
        </c:ser>
        <c:ser>
          <c:idx val="3"/>
          <c:order val="3"/>
          <c:tx>
            <c:strRef>
              <c:f>Analysis!$N$77:$N$78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Analysis!$J$79:$J$83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Analysis!$N$79:$N$83</c:f>
              <c:numCache>
                <c:formatCode>[$₦-46A]#,##0.00_);\([$₦-46A]#,##0.00\)</c:formatCode>
                <c:ptCount val="4"/>
                <c:pt idx="0">
                  <c:v>2553612</c:v>
                </c:pt>
                <c:pt idx="1">
                  <c:v>1806726</c:v>
                </c:pt>
                <c:pt idx="2">
                  <c:v>2768514</c:v>
                </c:pt>
                <c:pt idx="3">
                  <c:v>1506364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6-49A5-9AC2-A2E159A4DD9E}"/>
            </c:ext>
          </c:extLst>
        </c:ser>
        <c:ser>
          <c:idx val="4"/>
          <c:order val="4"/>
          <c:tx>
            <c:strRef>
              <c:f>Analysis!$O$77:$O$78</c:f>
              <c:strCache>
                <c:ptCount val="1"/>
                <c:pt idx="0">
                  <c:v>Malaria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Analysis!$J$79:$J$83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Analysis!$O$79:$O$83</c:f>
              <c:numCache>
                <c:formatCode>[$₦-46A]#,##0.00_);\([$₦-46A]#,##0.00\)</c:formatCode>
                <c:ptCount val="4"/>
                <c:pt idx="0">
                  <c:v>2585450</c:v>
                </c:pt>
                <c:pt idx="1">
                  <c:v>2733653</c:v>
                </c:pt>
                <c:pt idx="2">
                  <c:v>2228818</c:v>
                </c:pt>
                <c:pt idx="3">
                  <c:v>2794248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6-49A5-9AC2-A2E159A4DD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158963033"/>
        <c:axId val="398816156"/>
      </c:barChart>
      <c:catAx>
        <c:axId val="1589630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16156"/>
        <c:crosses val="autoZero"/>
        <c:auto val="1"/>
        <c:lblAlgn val="ctr"/>
        <c:lblOffset val="100"/>
        <c:noMultiLvlLbl val="0"/>
      </c:catAx>
      <c:valAx>
        <c:axId val="3988161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₦-46A]#,##0.00_);\([$₦-46A]#,##0.00\)" sourceLinked="1"/>
        <c:majorTickMark val="none"/>
        <c:minorTickMark val="none"/>
        <c:tickLblPos val="nextTo"/>
        <c:crossAx val="1589630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4cea1c-d128-4bcf-bc97-1f289057c562}"/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on Excel.2026.xlsx]Analysis!PivotTable33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Outcome By Disease</a:t>
            </a:r>
          </a:p>
        </c:rich>
      </c:tx>
      <c:layout>
        <c:manualLayout>
          <c:xMode val="edge"/>
          <c:yMode val="edge"/>
          <c:x val="0.30392749244713002"/>
          <c:y val="0.115833331920481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Analysis!$T$18:$T$19</c:f>
              <c:strCache>
                <c:ptCount val="1"/>
                <c:pt idx="0">
                  <c:v>Death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Analysis!$S$20:$S$25</c:f>
              <c:strCache>
                <c:ptCount val="5"/>
                <c:pt idx="0">
                  <c:v>Malaria</c:v>
                </c:pt>
                <c:pt idx="1">
                  <c:v>Hypertension</c:v>
                </c:pt>
                <c:pt idx="2">
                  <c:v>Diabetes</c:v>
                </c:pt>
                <c:pt idx="3">
                  <c:v>COVID-19</c:v>
                </c:pt>
                <c:pt idx="4">
                  <c:v>Asthma</c:v>
                </c:pt>
              </c:strCache>
            </c:strRef>
          </c:cat>
          <c:val>
            <c:numRef>
              <c:f>Analysis!$T$20:$T$25</c:f>
              <c:numCache>
                <c:formatCode>0_);[Red]\(0\)</c:formatCode>
                <c:ptCount val="5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F-4F12-9949-49A4B07395A4}"/>
            </c:ext>
          </c:extLst>
        </c:ser>
        <c:ser>
          <c:idx val="1"/>
          <c:order val="1"/>
          <c:tx>
            <c:strRef>
              <c:f>Analysis!$U$18:$U$19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Analysis!$S$20:$S$25</c:f>
              <c:strCache>
                <c:ptCount val="5"/>
                <c:pt idx="0">
                  <c:v>Malaria</c:v>
                </c:pt>
                <c:pt idx="1">
                  <c:v>Hypertension</c:v>
                </c:pt>
                <c:pt idx="2">
                  <c:v>Diabetes</c:v>
                </c:pt>
                <c:pt idx="3">
                  <c:v>COVID-19</c:v>
                </c:pt>
                <c:pt idx="4">
                  <c:v>Asthma</c:v>
                </c:pt>
              </c:strCache>
            </c:strRef>
          </c:cat>
          <c:val>
            <c:numRef>
              <c:f>Analysis!$U$20:$U$25</c:f>
              <c:numCache>
                <c:formatCode>0_);[Red]\(0\)</c:formatCode>
                <c:ptCount val="5"/>
                <c:pt idx="0">
                  <c:v>32</c:v>
                </c:pt>
                <c:pt idx="1">
                  <c:v>30</c:v>
                </c:pt>
                <c:pt idx="2">
                  <c:v>39</c:v>
                </c:pt>
                <c:pt idx="3">
                  <c:v>37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F-4F12-9949-49A4B07395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624723728"/>
        <c:axId val="953293690"/>
      </c:barChart>
      <c:catAx>
        <c:axId val="624723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93690"/>
        <c:crosses val="autoZero"/>
        <c:auto val="1"/>
        <c:lblAlgn val="ctr"/>
        <c:lblOffset val="100"/>
        <c:noMultiLvlLbl val="0"/>
      </c:catAx>
      <c:valAx>
        <c:axId val="953293690"/>
        <c:scaling>
          <c:orientation val="minMax"/>
        </c:scaling>
        <c:delete val="1"/>
        <c:axPos val="l"/>
        <c:numFmt formatCode="0_);[Red]\(0\)" sourceLinked="1"/>
        <c:majorTickMark val="out"/>
        <c:minorTickMark val="none"/>
        <c:tickLblPos val="nextTo"/>
        <c:crossAx val="6247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979623824451403"/>
          <c:y val="0.41450313339301698"/>
          <c:w val="0.20983542319749199"/>
          <c:h val="0.2918531781557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c96e42-02f2-4e7c-885b-56f481323103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18" Type="http://schemas.openxmlformats.org/officeDocument/2006/relationships/chart" Target="../charts/chart13.xml"/><Relationship Id="rId26" Type="http://schemas.openxmlformats.org/officeDocument/2006/relationships/chart" Target="../charts/chart21.xml"/><Relationship Id="rId3" Type="http://schemas.openxmlformats.org/officeDocument/2006/relationships/hyperlink" Target="#DASHBOARD!A1"/><Relationship Id="rId21" Type="http://schemas.openxmlformats.org/officeDocument/2006/relationships/chart" Target="../charts/chart16.xml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17" Type="http://schemas.openxmlformats.org/officeDocument/2006/relationships/chart" Target="../charts/chart12.xml"/><Relationship Id="rId25" Type="http://schemas.openxmlformats.org/officeDocument/2006/relationships/chart" Target="../charts/chart20.xml"/><Relationship Id="rId2" Type="http://schemas.openxmlformats.org/officeDocument/2006/relationships/hyperlink" Target="#'Health Dataset'!A1"/><Relationship Id="rId16" Type="http://schemas.openxmlformats.org/officeDocument/2006/relationships/chart" Target="../charts/chart11.xml"/><Relationship Id="rId20" Type="http://schemas.openxmlformats.org/officeDocument/2006/relationships/chart" Target="../charts/chart15.xml"/><Relationship Id="rId1" Type="http://schemas.openxmlformats.org/officeDocument/2006/relationships/hyperlink" Target="#Analysis!A1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24" Type="http://schemas.openxmlformats.org/officeDocument/2006/relationships/chart" Target="../charts/chart19.xml"/><Relationship Id="rId5" Type="http://schemas.openxmlformats.org/officeDocument/2006/relationships/image" Target="../media/image2.svg"/><Relationship Id="rId15" Type="http://schemas.openxmlformats.org/officeDocument/2006/relationships/chart" Target="../charts/chart10.xml"/><Relationship Id="rId23" Type="http://schemas.openxmlformats.org/officeDocument/2006/relationships/chart" Target="../charts/chart18.xml"/><Relationship Id="rId10" Type="http://schemas.openxmlformats.org/officeDocument/2006/relationships/chart" Target="../charts/chart5.xml"/><Relationship Id="rId19" Type="http://schemas.openxmlformats.org/officeDocument/2006/relationships/chart" Target="../charts/chart14.xml"/><Relationship Id="rId4" Type="http://schemas.openxmlformats.org/officeDocument/2006/relationships/image" Target="../media/image1.png"/><Relationship Id="rId9" Type="http://schemas.openxmlformats.org/officeDocument/2006/relationships/chart" Target="../charts/chart4.xml"/><Relationship Id="rId14" Type="http://schemas.openxmlformats.org/officeDocument/2006/relationships/chart" Target="../charts/chart9.xml"/><Relationship Id="rId22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90805</xdr:colOff>
      <xdr:row>6</xdr:row>
      <xdr:rowOff>0</xdr:rowOff>
    </xdr:from>
    <xdr:to>
      <xdr:col>20</xdr:col>
      <xdr:colOff>278765</xdr:colOff>
      <xdr:row>139</xdr:row>
      <xdr:rowOff>43815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0805" y="1333500"/>
          <a:ext cx="12379960" cy="25570815"/>
        </a:xfrm>
        <a:prstGeom prst="roundRect">
          <a:avLst>
            <a:gd name="adj" fmla="val 1550"/>
          </a:avLst>
        </a:prstGeom>
        <a:solidFill>
          <a:srgbClr val="007233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164465</xdr:colOff>
      <xdr:row>1</xdr:row>
      <xdr:rowOff>95250</xdr:rowOff>
    </xdr:from>
    <xdr:to>
      <xdr:col>20</xdr:col>
      <xdr:colOff>275590</xdr:colOff>
      <xdr:row>23</xdr:row>
      <xdr:rowOff>152400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64465" y="285750"/>
          <a:ext cx="12303125" cy="4438650"/>
        </a:xfrm>
        <a:prstGeom prst="roundRect">
          <a:avLst>
            <a:gd name="adj" fmla="val 971"/>
          </a:avLst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100965</xdr:colOff>
      <xdr:row>6</xdr:row>
      <xdr:rowOff>9525</xdr:rowOff>
    </xdr:from>
    <xdr:to>
      <xdr:col>2</xdr:col>
      <xdr:colOff>120015</xdr:colOff>
      <xdr:row>8</xdr:row>
      <xdr:rowOff>28575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0965" y="1343025"/>
          <a:ext cx="1238250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8</xdr:row>
      <xdr:rowOff>85725</xdr:rowOff>
    </xdr:from>
    <xdr:to>
      <xdr:col>2</xdr:col>
      <xdr:colOff>106045</xdr:colOff>
      <xdr:row>10</xdr:row>
      <xdr:rowOff>114300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6200" y="1800225"/>
          <a:ext cx="1249045" cy="4095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66040</xdr:colOff>
      <xdr:row>11</xdr:row>
      <xdr:rowOff>9525</xdr:rowOff>
    </xdr:from>
    <xdr:to>
      <xdr:col>2</xdr:col>
      <xdr:colOff>115570</xdr:colOff>
      <xdr:row>13</xdr:row>
      <xdr:rowOff>28575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6040" y="2295525"/>
          <a:ext cx="1268730" cy="400050"/>
        </a:xfrm>
        <a:prstGeom prst="roundRect">
          <a:avLst/>
        </a:prstGeom>
        <a:solidFill>
          <a:sysClr val="window" lastClr="FFFFFF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163195</xdr:colOff>
      <xdr:row>3</xdr:row>
      <xdr:rowOff>29210</xdr:rowOff>
    </xdr:from>
    <xdr:to>
      <xdr:col>4</xdr:col>
      <xdr:colOff>137795</xdr:colOff>
      <xdr:row>5</xdr:row>
      <xdr:rowOff>133985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82395" y="600710"/>
          <a:ext cx="1193800" cy="67627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57150</xdr:colOff>
      <xdr:row>0</xdr:row>
      <xdr:rowOff>66675</xdr:rowOff>
    </xdr:from>
    <xdr:to>
      <xdr:col>2</xdr:col>
      <xdr:colOff>152400</xdr:colOff>
      <xdr:row>5</xdr:row>
      <xdr:rowOff>151765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7150" y="66675"/>
          <a:ext cx="1314450" cy="1228090"/>
        </a:xfrm>
        <a:prstGeom prst="roundRect">
          <a:avLst>
            <a:gd name="adj" fmla="val 436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576580</xdr:colOff>
      <xdr:row>3</xdr:row>
      <xdr:rowOff>38100</xdr:rowOff>
    </xdr:from>
    <xdr:to>
      <xdr:col>9</xdr:col>
      <xdr:colOff>490220</xdr:colOff>
      <xdr:row>5</xdr:row>
      <xdr:rowOff>95885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234180" y="609600"/>
          <a:ext cx="1742440" cy="62928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142240</xdr:colOff>
      <xdr:row>5</xdr:row>
      <xdr:rowOff>151765</xdr:rowOff>
    </xdr:from>
    <xdr:to>
      <xdr:col>12</xdr:col>
      <xdr:colOff>607695</xdr:colOff>
      <xdr:row>22</xdr:row>
      <xdr:rowOff>170180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409440" y="1294765"/>
          <a:ext cx="3513455" cy="3256915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47625</xdr:colOff>
      <xdr:row>5</xdr:row>
      <xdr:rowOff>104775</xdr:rowOff>
    </xdr:from>
    <xdr:to>
      <xdr:col>19</xdr:col>
      <xdr:colOff>275590</xdr:colOff>
      <xdr:row>22</xdr:row>
      <xdr:rowOff>161925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7972425" y="1247775"/>
          <a:ext cx="3885565" cy="3295650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284480</xdr:colOff>
      <xdr:row>6</xdr:row>
      <xdr:rowOff>8255</xdr:rowOff>
    </xdr:from>
    <xdr:to>
      <xdr:col>7</xdr:col>
      <xdr:colOff>114300</xdr:colOff>
      <xdr:row>22</xdr:row>
      <xdr:rowOff>160655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503680" y="1341755"/>
          <a:ext cx="2877820" cy="3200400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443865</xdr:colOff>
      <xdr:row>3</xdr:row>
      <xdr:rowOff>28575</xdr:rowOff>
    </xdr:from>
    <xdr:to>
      <xdr:col>14</xdr:col>
      <xdr:colOff>275590</xdr:colOff>
      <xdr:row>5</xdr:row>
      <xdr:rowOff>47625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759065" y="600075"/>
          <a:ext cx="1050925" cy="590550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305435</xdr:colOff>
      <xdr:row>0</xdr:row>
      <xdr:rowOff>123825</xdr:rowOff>
    </xdr:from>
    <xdr:to>
      <xdr:col>14</xdr:col>
      <xdr:colOff>17780</xdr:colOff>
      <xdr:row>3</xdr:row>
      <xdr:rowOff>19050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524635" y="123825"/>
          <a:ext cx="7027545" cy="4667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/>
            <a:t>DDDD</a:t>
          </a:r>
        </a:p>
      </xdr:txBody>
    </xdr:sp>
    <xdr:clientData/>
  </xdr:twoCellAnchor>
  <xdr:twoCellAnchor>
    <xdr:from>
      <xdr:col>2</xdr:col>
      <xdr:colOff>272415</xdr:colOff>
      <xdr:row>3</xdr:row>
      <xdr:rowOff>28575</xdr:rowOff>
    </xdr:from>
    <xdr:to>
      <xdr:col>4</xdr:col>
      <xdr:colOff>101600</xdr:colOff>
      <xdr:row>5</xdr:row>
      <xdr:rowOff>123190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491615" y="600075"/>
          <a:ext cx="1048385" cy="66611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chemeClr val="bg1"/>
              </a:solidFill>
            </a:rPr>
            <a:t>Total Patient</a:t>
          </a:r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twoCellAnchor>
    <xdr:from>
      <xdr:col>9</xdr:col>
      <xdr:colOff>518160</xdr:colOff>
      <xdr:row>3</xdr:row>
      <xdr:rowOff>20320</xdr:rowOff>
    </xdr:from>
    <xdr:to>
      <xdr:col>12</xdr:col>
      <xdr:colOff>399415</xdr:colOff>
      <xdr:row>5</xdr:row>
      <xdr:rowOff>76200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6004560" y="591820"/>
          <a:ext cx="1710055" cy="62738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149860</xdr:colOff>
      <xdr:row>6</xdr:row>
      <xdr:rowOff>47625</xdr:rowOff>
    </xdr:from>
    <xdr:to>
      <xdr:col>2</xdr:col>
      <xdr:colOff>41275</xdr:colOff>
      <xdr:row>7</xdr:row>
      <xdr:rowOff>123825</xdr:rowOff>
    </xdr:to>
    <xdr:sp macro="" textlink="">
      <xdr:nvSpPr>
        <xdr:cNvPr id="22" name="Rounded 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49860" y="1381125"/>
          <a:ext cx="1110615" cy="266700"/>
        </a:xfrm>
        <a:prstGeom prst="roundRect">
          <a:avLst/>
        </a:prstGeom>
        <a:solidFill>
          <a:srgbClr val="C000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b="1">
              <a:solidFill>
                <a:schemeClr val="bg2"/>
              </a:solidFill>
            </a:rPr>
            <a:t>Analysis</a:t>
          </a:r>
        </a:p>
      </xdr:txBody>
    </xdr:sp>
    <xdr:clientData/>
  </xdr:twoCellAnchor>
  <xdr:twoCellAnchor>
    <xdr:from>
      <xdr:col>4</xdr:col>
      <xdr:colOff>155575</xdr:colOff>
      <xdr:row>3</xdr:row>
      <xdr:rowOff>46990</xdr:rowOff>
    </xdr:from>
    <xdr:to>
      <xdr:col>6</xdr:col>
      <xdr:colOff>545465</xdr:colOff>
      <xdr:row>5</xdr:row>
      <xdr:rowOff>114300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593975" y="618490"/>
          <a:ext cx="1609090" cy="63881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113665</xdr:colOff>
      <xdr:row>0</xdr:row>
      <xdr:rowOff>114300</xdr:rowOff>
    </xdr:from>
    <xdr:to>
      <xdr:col>13</xdr:col>
      <xdr:colOff>589915</xdr:colOff>
      <xdr:row>3</xdr:row>
      <xdr:rowOff>9525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819265" y="114300"/>
          <a:ext cx="1695450" cy="4667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2</xdr:col>
      <xdr:colOff>98425</xdr:colOff>
      <xdr:row>0</xdr:row>
      <xdr:rowOff>9525</xdr:rowOff>
    </xdr:from>
    <xdr:ext cx="7579360" cy="558165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 rot="10800000" flipV="1">
          <a:off x="1317625" y="9525"/>
          <a:ext cx="7579360" cy="558165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ctr"/>
          <a:r>
            <a:rPr lang="en-GB" altLang="en-US" sz="2000">
              <a:solidFill>
                <a:schemeClr val="bg1"/>
              </a:solidFill>
            </a:rPr>
            <a:t>HEALTH CARE ANALYTICS DASHBOARD</a:t>
          </a:r>
        </a:p>
      </xdr:txBody>
    </xdr:sp>
    <xdr:clientData/>
  </xdr:oneCellAnchor>
  <xdr:twoCellAnchor>
    <xdr:from>
      <xdr:col>4</xdr:col>
      <xdr:colOff>289560</xdr:colOff>
      <xdr:row>3</xdr:row>
      <xdr:rowOff>47625</xdr:rowOff>
    </xdr:from>
    <xdr:to>
      <xdr:col>6</xdr:col>
      <xdr:colOff>564515</xdr:colOff>
      <xdr:row>5</xdr:row>
      <xdr:rowOff>95250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27960" y="619125"/>
          <a:ext cx="1494155" cy="619125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</a:rPr>
            <a:t>Total Treatment Cost</a:t>
          </a:r>
        </a:p>
      </xdr:txBody>
    </xdr:sp>
    <xdr:clientData/>
  </xdr:twoCellAnchor>
  <xdr:twoCellAnchor>
    <xdr:from>
      <xdr:col>7</xdr:col>
      <xdr:colOff>34290</xdr:colOff>
      <xdr:row>3</xdr:row>
      <xdr:rowOff>47625</xdr:rowOff>
    </xdr:from>
    <xdr:to>
      <xdr:col>9</xdr:col>
      <xdr:colOff>501650</xdr:colOff>
      <xdr:row>5</xdr:row>
      <xdr:rowOff>95250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01490" y="619125"/>
          <a:ext cx="1686560" cy="61912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</a:rPr>
            <a:t>Average Treatment Cost</a:t>
          </a:r>
        </a:p>
      </xdr:txBody>
    </xdr:sp>
    <xdr:clientData/>
  </xdr:twoCellAnchor>
  <xdr:twoCellAnchor>
    <xdr:from>
      <xdr:col>9</xdr:col>
      <xdr:colOff>575945</xdr:colOff>
      <xdr:row>3</xdr:row>
      <xdr:rowOff>67310</xdr:rowOff>
    </xdr:from>
    <xdr:to>
      <xdr:col>12</xdr:col>
      <xdr:colOff>386715</xdr:colOff>
      <xdr:row>5</xdr:row>
      <xdr:rowOff>57150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062345" y="638810"/>
          <a:ext cx="1639570" cy="561340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ysClr val="windowText" lastClr="000000"/>
              </a:solidFill>
            </a:rPr>
            <a:t>Average Lenght of Stay</a:t>
          </a:r>
        </a:p>
      </xdr:txBody>
    </xdr:sp>
    <xdr:clientData/>
  </xdr:twoCellAnchor>
  <xdr:twoCellAnchor>
    <xdr:from>
      <xdr:col>12</xdr:col>
      <xdr:colOff>531495</xdr:colOff>
      <xdr:row>3</xdr:row>
      <xdr:rowOff>12065</xdr:rowOff>
    </xdr:from>
    <xdr:to>
      <xdr:col>14</xdr:col>
      <xdr:colOff>273685</xdr:colOff>
      <xdr:row>4</xdr:row>
      <xdr:rowOff>94615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846695" y="583565"/>
          <a:ext cx="961390" cy="463550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ysClr val="windowText" lastClr="000000"/>
              </a:solidFill>
            </a:rPr>
            <a:t>Gender</a:t>
          </a:r>
        </a:p>
      </xdr:txBody>
    </xdr:sp>
    <xdr:clientData/>
  </xdr:twoCellAnchor>
  <xdr:twoCellAnchor>
    <xdr:from>
      <xdr:col>0</xdr:col>
      <xdr:colOff>124460</xdr:colOff>
      <xdr:row>8</xdr:row>
      <xdr:rowOff>124460</xdr:rowOff>
    </xdr:from>
    <xdr:to>
      <xdr:col>2</xdr:col>
      <xdr:colOff>16510</xdr:colOff>
      <xdr:row>10</xdr:row>
      <xdr:rowOff>0</xdr:rowOff>
    </xdr:to>
    <xdr:sp macro="" textlink="">
      <xdr:nvSpPr>
        <xdr:cNvPr id="30" name="Rounded Rectangle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4460" y="1838960"/>
          <a:ext cx="1111250" cy="256540"/>
        </a:xfrm>
        <a:prstGeom prst="roundRect">
          <a:avLst/>
        </a:prstGeom>
        <a:solidFill>
          <a:srgbClr val="006628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b="1">
              <a:solidFill>
                <a:schemeClr val="bg1"/>
              </a:solidFill>
            </a:rPr>
            <a:t>Health Dataset</a:t>
          </a:r>
        </a:p>
      </xdr:txBody>
    </xdr:sp>
    <xdr:clientData/>
  </xdr:twoCellAnchor>
  <xdr:twoCellAnchor>
    <xdr:from>
      <xdr:col>0</xdr:col>
      <xdr:colOff>171450</xdr:colOff>
      <xdr:row>11</xdr:row>
      <xdr:rowOff>47625</xdr:rowOff>
    </xdr:from>
    <xdr:to>
      <xdr:col>1</xdr:col>
      <xdr:colOff>608330</xdr:colOff>
      <xdr:row>12</xdr:row>
      <xdr:rowOff>170815</xdr:rowOff>
    </xdr:to>
    <xdr:sp macro="" textlink="">
      <xdr:nvSpPr>
        <xdr:cNvPr id="31" name="Rounded Rectangle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71450" y="2333625"/>
          <a:ext cx="1046480" cy="313690"/>
        </a:xfrm>
        <a:prstGeom prst="roundRect">
          <a:avLst/>
        </a:prstGeom>
        <a:solidFill>
          <a:srgbClr val="001E0C"/>
        </a:solidFill>
      </xdr:spPr>
      <xdr:style>
        <a:lnRef idx="0">
          <a:srgbClr val="FFFFFF"/>
        </a:lnRef>
        <a:fillRef idx="1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b="1">
              <a:solidFill>
                <a:schemeClr val="accent2"/>
              </a:solidFill>
            </a:rPr>
            <a:t>Dashboard</a:t>
          </a:r>
        </a:p>
      </xdr:txBody>
    </xdr:sp>
    <xdr:clientData/>
  </xdr:twoCellAnchor>
  <xdr:oneCellAnchor>
    <xdr:from>
      <xdr:col>3</xdr:col>
      <xdr:colOff>38100</xdr:colOff>
      <xdr:row>4</xdr:row>
      <xdr:rowOff>47625</xdr:rowOff>
    </xdr:from>
    <xdr:ext cx="443230" cy="245110"/>
    <xdr:sp macro="" textlink="Analysis!$I$5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866900" y="1000125"/>
          <a:ext cx="443230" cy="2451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GB" altLang="en-US" sz="1100"/>
            <a:pPr algn="l"/>
            <a:t>200</a:t>
          </a:fld>
          <a:endParaRPr lang="en-GB" altLang="en-US" sz="1100"/>
        </a:p>
      </xdr:txBody>
    </xdr:sp>
    <xdr:clientData/>
  </xdr:oneCellAnchor>
  <xdr:twoCellAnchor>
    <xdr:from>
      <xdr:col>6</xdr:col>
      <xdr:colOff>0</xdr:colOff>
      <xdr:row>5</xdr:row>
      <xdr:rowOff>95885</xdr:rowOff>
    </xdr:from>
    <xdr:to>
      <xdr:col>7</xdr:col>
      <xdr:colOff>371475</xdr:colOff>
      <xdr:row>8</xdr:row>
      <xdr:rowOff>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1238885"/>
          <a:ext cx="981075" cy="47561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oneCellAnchor>
    <xdr:from>
      <xdr:col>4</xdr:col>
      <xdr:colOff>403225</xdr:colOff>
      <xdr:row>4</xdr:row>
      <xdr:rowOff>28575</xdr:rowOff>
    </xdr:from>
    <xdr:ext cx="1252855" cy="236220"/>
    <xdr:sp macro="" textlink="Analysis!$I$17">
      <xdr:nvSpPr>
        <xdr:cNvPr id="19" name="Text 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2841625" y="981075"/>
          <a:ext cx="1252855" cy="2362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/>
            <a:pPr algn="l"/>
            <a:t>₦51,048,968.00 </a:t>
          </a:fld>
          <a:endParaRPr lang="en-GB" altLang="en-US" sz="1100"/>
        </a:p>
      </xdr:txBody>
    </xdr:sp>
    <xdr:clientData/>
  </xdr:oneCellAnchor>
  <xdr:oneCellAnchor>
    <xdr:from>
      <xdr:col>7</xdr:col>
      <xdr:colOff>318135</xdr:colOff>
      <xdr:row>4</xdr:row>
      <xdr:rowOff>40640</xdr:rowOff>
    </xdr:from>
    <xdr:ext cx="986155" cy="226060"/>
    <xdr:sp macro="" textlink="Analysis!$G$24">
      <xdr:nvSpPr>
        <xdr:cNvPr id="20" name="Text 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4585335" y="993140"/>
          <a:ext cx="986155" cy="2260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/>
            <a:pPr algn="l"/>
            <a:t>₦255,244.84 </a:t>
          </a:fld>
          <a:endParaRPr lang="en-GB" altLang="en-US" sz="1100"/>
        </a:p>
      </xdr:txBody>
    </xdr:sp>
    <xdr:clientData/>
  </xdr:oneCellAnchor>
  <xdr:oneCellAnchor>
    <xdr:from>
      <xdr:col>10</xdr:col>
      <xdr:colOff>333375</xdr:colOff>
      <xdr:row>4</xdr:row>
      <xdr:rowOff>57150</xdr:rowOff>
    </xdr:from>
    <xdr:ext cx="423545" cy="207645"/>
    <xdr:sp macro="" textlink="Analysis!$I$21">
      <xdr:nvSpPr>
        <xdr:cNvPr id="32" name="Text 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6429375" y="1009650"/>
          <a:ext cx="423545" cy="2076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/>
            <a:pPr algn="l"/>
            <a:t>7.110552764</a:t>
          </a:fld>
          <a:endParaRPr lang="en-GB" altLang="en-US" sz="1100"/>
        </a:p>
      </xdr:txBody>
    </xdr:sp>
    <xdr:clientData/>
  </xdr:oneCellAnchor>
  <xdr:oneCellAnchor>
    <xdr:from>
      <xdr:col>13</xdr:col>
      <xdr:colOff>193675</xdr:colOff>
      <xdr:row>3</xdr:row>
      <xdr:rowOff>222885</xdr:rowOff>
    </xdr:from>
    <xdr:ext cx="394970" cy="187325"/>
    <xdr:sp macro="" textlink="Analysis!$I$8">
      <xdr:nvSpPr>
        <xdr:cNvPr id="33" name="Text 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8118475" y="794385"/>
          <a:ext cx="394970" cy="187325"/>
        </a:xfrm>
        <a:prstGeom prst="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GB" altLang="en-US" sz="1100"/>
            <a:pPr algn="ctr"/>
            <a:t>2 </a:t>
          </a:fld>
          <a:endParaRPr lang="en-GB" altLang="en-US" sz="1100"/>
        </a:p>
      </xdr:txBody>
    </xdr:sp>
    <xdr:clientData/>
  </xdr:oneCellAnchor>
  <xdr:twoCellAnchor>
    <xdr:from>
      <xdr:col>0</xdr:col>
      <xdr:colOff>28575</xdr:colOff>
      <xdr:row>0</xdr:row>
      <xdr:rowOff>171450</xdr:rowOff>
    </xdr:from>
    <xdr:to>
      <xdr:col>2</xdr:col>
      <xdr:colOff>114300</xdr:colOff>
      <xdr:row>5</xdr:row>
      <xdr:rowOff>133350</xdr:rowOff>
    </xdr:to>
    <xdr:pic>
      <xdr:nvPicPr>
        <xdr:cNvPr id="36" name="Graphic 36" descr="Stethoscope with solid fill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8575" y="171450"/>
          <a:ext cx="1304925" cy="1104900"/>
        </a:xfrm>
        <a:prstGeom prst="rect">
          <a:avLst/>
        </a:prstGeom>
      </xdr:spPr>
    </xdr:pic>
    <xdr:clientData/>
  </xdr:twoCellAnchor>
  <xdr:twoCellAnchor>
    <xdr:from>
      <xdr:col>2</xdr:col>
      <xdr:colOff>153670</xdr:colOff>
      <xdr:row>5</xdr:row>
      <xdr:rowOff>111125</xdr:rowOff>
    </xdr:from>
    <xdr:to>
      <xdr:col>7</xdr:col>
      <xdr:colOff>41910</xdr:colOff>
      <xdr:row>21</xdr:row>
      <xdr:rowOff>67945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32385</xdr:colOff>
      <xdr:row>12</xdr:row>
      <xdr:rowOff>149225</xdr:rowOff>
    </xdr:from>
    <xdr:to>
      <xdr:col>19</xdr:col>
      <xdr:colOff>243840</xdr:colOff>
      <xdr:row>21</xdr:row>
      <xdr:rowOff>160020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116840</xdr:colOff>
      <xdr:row>25</xdr:row>
      <xdr:rowOff>140970</xdr:rowOff>
    </xdr:from>
    <xdr:to>
      <xdr:col>7</xdr:col>
      <xdr:colOff>510540</xdr:colOff>
      <xdr:row>35</xdr:row>
      <xdr:rowOff>100965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168275</xdr:colOff>
      <xdr:row>109</xdr:row>
      <xdr:rowOff>19050</xdr:rowOff>
    </xdr:from>
    <xdr:to>
      <xdr:col>10</xdr:col>
      <xdr:colOff>506730</xdr:colOff>
      <xdr:row>120</xdr:row>
      <xdr:rowOff>60325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78105</xdr:colOff>
      <xdr:row>5</xdr:row>
      <xdr:rowOff>184150</xdr:rowOff>
    </xdr:from>
    <xdr:to>
      <xdr:col>13</xdr:col>
      <xdr:colOff>20320</xdr:colOff>
      <xdr:row>21</xdr:row>
      <xdr:rowOff>158750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248920</xdr:colOff>
      <xdr:row>90</xdr:row>
      <xdr:rowOff>55245</xdr:rowOff>
    </xdr:from>
    <xdr:to>
      <xdr:col>14</xdr:col>
      <xdr:colOff>29210</xdr:colOff>
      <xdr:row>92</xdr:row>
      <xdr:rowOff>122555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954520" y="17581245"/>
          <a:ext cx="1609090" cy="44831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382270</xdr:colOff>
      <xdr:row>90</xdr:row>
      <xdr:rowOff>55245</xdr:rowOff>
    </xdr:from>
    <xdr:to>
      <xdr:col>14</xdr:col>
      <xdr:colOff>47625</xdr:colOff>
      <xdr:row>92</xdr:row>
      <xdr:rowOff>103505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7087870" y="17581245"/>
          <a:ext cx="1494155" cy="42926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ysClr val="windowText" lastClr="000000"/>
              </a:solidFill>
            </a:rPr>
            <a:t>Total Revenue</a:t>
          </a:r>
        </a:p>
      </xdr:txBody>
    </xdr:sp>
    <xdr:clientData/>
  </xdr:twoCellAnchor>
  <xdr:oneCellAnchor>
    <xdr:from>
      <xdr:col>11</xdr:col>
      <xdr:colOff>494665</xdr:colOff>
      <xdr:row>91</xdr:row>
      <xdr:rowOff>72390</xdr:rowOff>
    </xdr:from>
    <xdr:ext cx="1252855" cy="200025"/>
    <xdr:sp macro="" textlink="Analysis!$I$17">
      <xdr:nvSpPr>
        <xdr:cNvPr id="53" name="Text 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7200265" y="17788890"/>
          <a:ext cx="1252855" cy="20002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pPr algn="l"/>
            <a:t>₦51,048,968.00 </a:t>
          </a:fld>
          <a:endParaRPr lang="en-GB" altLang="en-US" sz="11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14</xdr:col>
      <xdr:colOff>207645</xdr:colOff>
      <xdr:row>23</xdr:row>
      <xdr:rowOff>6350</xdr:rowOff>
    </xdr:from>
    <xdr:to>
      <xdr:col>20</xdr:col>
      <xdr:colOff>325755</xdr:colOff>
      <xdr:row>35</xdr:row>
      <xdr:rowOff>107950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521970</xdr:colOff>
      <xdr:row>25</xdr:row>
      <xdr:rowOff>115570</xdr:rowOff>
    </xdr:from>
    <xdr:to>
      <xdr:col>14</xdr:col>
      <xdr:colOff>199390</xdr:colOff>
      <xdr:row>44</xdr:row>
      <xdr:rowOff>165100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198120</xdr:colOff>
      <xdr:row>35</xdr:row>
      <xdr:rowOff>120015</xdr:rowOff>
    </xdr:from>
    <xdr:to>
      <xdr:col>20</xdr:col>
      <xdr:colOff>318770</xdr:colOff>
      <xdr:row>44</xdr:row>
      <xdr:rowOff>163195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147320</xdr:colOff>
      <xdr:row>23</xdr:row>
      <xdr:rowOff>4445</xdr:rowOff>
    </xdr:from>
    <xdr:to>
      <xdr:col>13</xdr:col>
      <xdr:colOff>200660</xdr:colOff>
      <xdr:row>25</xdr:row>
      <xdr:rowOff>90805</xdr:rowOff>
    </xdr:to>
    <xdr:sp macro="" textlink="">
      <xdr:nvSpPr>
        <xdr:cNvPr id="61" name="Rounded Rectangl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6852920" y="4576445"/>
          <a:ext cx="1272540" cy="46736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283845</xdr:colOff>
      <xdr:row>22</xdr:row>
      <xdr:rowOff>177800</xdr:rowOff>
    </xdr:from>
    <xdr:to>
      <xdr:col>13</xdr:col>
      <xdr:colOff>163830</xdr:colOff>
      <xdr:row>25</xdr:row>
      <xdr:rowOff>81915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6989445" y="4559300"/>
          <a:ext cx="1099185" cy="47561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ysClr val="windowText" lastClr="000000"/>
              </a:solidFill>
            </a:rPr>
            <a:t>Mortality Rate</a:t>
          </a:r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oneCellAnchor>
    <xdr:from>
      <xdr:col>11</xdr:col>
      <xdr:colOff>378460</xdr:colOff>
      <xdr:row>24</xdr:row>
      <xdr:rowOff>4445</xdr:rowOff>
    </xdr:from>
    <xdr:ext cx="514985" cy="245110"/>
    <xdr:sp macro="" textlink="Analysis!$K$25">
      <xdr:nvSpPr>
        <xdr:cNvPr id="63" name="Text 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7084060" y="4766945"/>
          <a:ext cx="514985" cy="2451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/>
            <a:pPr algn="l"/>
            <a:t>0.12</a:t>
          </a:fld>
          <a:endParaRPr lang="en-GB" altLang="en-US" sz="1100"/>
        </a:p>
      </xdr:txBody>
    </xdr:sp>
    <xdr:clientData/>
  </xdr:oneCellAnchor>
  <xdr:twoCellAnchor>
    <xdr:from>
      <xdr:col>9</xdr:col>
      <xdr:colOff>605790</xdr:colOff>
      <xdr:row>56</xdr:row>
      <xdr:rowOff>111760</xdr:rowOff>
    </xdr:from>
    <xdr:to>
      <xdr:col>19</xdr:col>
      <xdr:colOff>168275</xdr:colOff>
      <xdr:row>67</xdr:row>
      <xdr:rowOff>132715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509270</xdr:colOff>
      <xdr:row>109</xdr:row>
      <xdr:rowOff>19050</xdr:rowOff>
    </xdr:from>
    <xdr:to>
      <xdr:col>19</xdr:col>
      <xdr:colOff>426720</xdr:colOff>
      <xdr:row>120</xdr:row>
      <xdr:rowOff>68580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65405</xdr:colOff>
      <xdr:row>57</xdr:row>
      <xdr:rowOff>127000</xdr:rowOff>
    </xdr:from>
    <xdr:to>
      <xdr:col>10</xdr:col>
      <xdr:colOff>17780</xdr:colOff>
      <xdr:row>67</xdr:row>
      <xdr:rowOff>154940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499745</xdr:colOff>
      <xdr:row>92</xdr:row>
      <xdr:rowOff>96520</xdr:rowOff>
    </xdr:from>
    <xdr:to>
      <xdr:col>13</xdr:col>
      <xdr:colOff>320675</xdr:colOff>
      <xdr:row>109</xdr:row>
      <xdr:rowOff>9525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39370</xdr:colOff>
      <xdr:row>69</xdr:row>
      <xdr:rowOff>180975</xdr:rowOff>
    </xdr:from>
    <xdr:to>
      <xdr:col>9</xdr:col>
      <xdr:colOff>387350</xdr:colOff>
      <xdr:row>81</xdr:row>
      <xdr:rowOff>31115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41910</xdr:colOff>
      <xdr:row>81</xdr:row>
      <xdr:rowOff>26670</xdr:rowOff>
    </xdr:from>
    <xdr:to>
      <xdr:col>9</xdr:col>
      <xdr:colOff>379095</xdr:colOff>
      <xdr:row>90</xdr:row>
      <xdr:rowOff>58420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321945</xdr:colOff>
      <xdr:row>92</xdr:row>
      <xdr:rowOff>142240</xdr:rowOff>
    </xdr:from>
    <xdr:to>
      <xdr:col>19</xdr:col>
      <xdr:colOff>430530</xdr:colOff>
      <xdr:row>109</xdr:row>
      <xdr:rowOff>1270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130175</xdr:colOff>
      <xdr:row>35</xdr:row>
      <xdr:rowOff>70485</xdr:rowOff>
    </xdr:from>
    <xdr:to>
      <xdr:col>7</xdr:col>
      <xdr:colOff>501015</xdr:colOff>
      <xdr:row>44</xdr:row>
      <xdr:rowOff>173990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15</xdr:col>
      <xdr:colOff>127635</xdr:colOff>
      <xdr:row>22</xdr:row>
      <xdr:rowOff>135890</xdr:rowOff>
    </xdr:from>
    <xdr:to>
      <xdr:col>18</xdr:col>
      <xdr:colOff>382270</xdr:colOff>
      <xdr:row>24</xdr:row>
      <xdr:rowOff>177165</xdr:rowOff>
    </xdr:to>
    <xdr:sp macro="" textlink="">
      <xdr:nvSpPr>
        <xdr:cNvPr id="57" name="Rounded 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9271635" y="4517390"/>
          <a:ext cx="2083435" cy="42227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241935</xdr:colOff>
      <xdr:row>22</xdr:row>
      <xdr:rowOff>118110</xdr:rowOff>
    </xdr:from>
    <xdr:to>
      <xdr:col>18</xdr:col>
      <xdr:colOff>369570</xdr:colOff>
      <xdr:row>24</xdr:row>
      <xdr:rowOff>159385</xdr:rowOff>
    </xdr:to>
    <xdr:sp macro="" textlink="">
      <xdr:nvSpPr>
        <xdr:cNvPr id="73" name="Rounded Rectangl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9385935" y="4499610"/>
          <a:ext cx="1956435" cy="422275"/>
        </a:xfrm>
        <a:prstGeom prst="roundRect">
          <a:avLst/>
        </a:prstGeom>
        <a:solidFill>
          <a:schemeClr val="accent2"/>
        </a:solidFill>
      </xdr:spPr>
      <xdr:style>
        <a:lnRef idx="0">
          <a:srgbClr val="FFFFFF"/>
        </a:lnRef>
        <a:fillRef idx="1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Female</a:t>
          </a:r>
          <a:endParaRPr lang="en-GB" alt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GB" alt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GB" alt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15</xdr:col>
      <xdr:colOff>520700</xdr:colOff>
      <xdr:row>23</xdr:row>
      <xdr:rowOff>163830</xdr:rowOff>
    </xdr:from>
    <xdr:ext cx="700405" cy="217170"/>
    <xdr:sp macro="" textlink="Analysis!$K$11">
      <xdr:nvSpPr>
        <xdr:cNvPr id="74" name="Text 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9664700" y="4735830"/>
          <a:ext cx="700405" cy="21717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GB" altLang="en-US" sz="1100"/>
            <a:pPr algn="ctr"/>
            <a:t>103</a:t>
          </a:fld>
          <a:endParaRPr lang="en-GB" altLang="en-US" sz="1100"/>
        </a:p>
      </xdr:txBody>
    </xdr:sp>
    <xdr:clientData/>
  </xdr:oneCellAnchor>
  <xdr:twoCellAnchor>
    <xdr:from>
      <xdr:col>9</xdr:col>
      <xdr:colOff>177800</xdr:colOff>
      <xdr:row>23</xdr:row>
      <xdr:rowOff>35560</xdr:rowOff>
    </xdr:from>
    <xdr:to>
      <xdr:col>11</xdr:col>
      <xdr:colOff>175260</xdr:colOff>
      <xdr:row>25</xdr:row>
      <xdr:rowOff>121920</xdr:rowOff>
    </xdr:to>
    <xdr:sp macro="" textlink="">
      <xdr:nvSpPr>
        <xdr:cNvPr id="75" name="Rounded 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664200" y="4607560"/>
          <a:ext cx="1216660" cy="46736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250825</xdr:colOff>
      <xdr:row>23</xdr:row>
      <xdr:rowOff>19050</xdr:rowOff>
    </xdr:from>
    <xdr:to>
      <xdr:col>11</xdr:col>
      <xdr:colOff>146050</xdr:colOff>
      <xdr:row>25</xdr:row>
      <xdr:rowOff>113665</xdr:rowOff>
    </xdr:to>
    <xdr:sp macro="" textlink="">
      <xdr:nvSpPr>
        <xdr:cNvPr id="76" name="Rounded 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737225" y="4591050"/>
          <a:ext cx="1114425" cy="47561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rgbClr val="60045B"/>
              </a:solidFill>
            </a:rPr>
            <a:t>Discharge Rate</a:t>
          </a:r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oneCellAnchor>
    <xdr:from>
      <xdr:col>9</xdr:col>
      <xdr:colOff>581025</xdr:colOff>
      <xdr:row>24</xdr:row>
      <xdr:rowOff>35560</xdr:rowOff>
    </xdr:from>
    <xdr:ext cx="505460" cy="245110"/>
    <xdr:sp macro="" textlink="Analysis!$K$26">
      <xdr:nvSpPr>
        <xdr:cNvPr id="77" name="Text 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067425" y="4798060"/>
          <a:ext cx="505460" cy="2451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GB" altLang="en-US" sz="1100"/>
            <a:pPr algn="ctr"/>
            <a:t>0.88</a:t>
          </a:fld>
          <a:endParaRPr lang="en-GB" altLang="en-US" sz="1100"/>
        </a:p>
      </xdr:txBody>
    </xdr:sp>
    <xdr:clientData/>
  </xdr:oneCellAnchor>
  <xdr:twoCellAnchor editAs="oneCell">
    <xdr:from>
      <xdr:col>0</xdr:col>
      <xdr:colOff>9525</xdr:colOff>
      <xdr:row>13</xdr:row>
      <xdr:rowOff>73660</xdr:rowOff>
    </xdr:from>
    <xdr:to>
      <xdr:col>2</xdr:col>
      <xdr:colOff>111760</xdr:colOff>
      <xdr:row>22</xdr:row>
      <xdr:rowOff>133985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8" name="Age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740660"/>
              <a:ext cx="1321435" cy="1774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361950</xdr:colOff>
      <xdr:row>0</xdr:row>
      <xdr:rowOff>9525</xdr:rowOff>
    </xdr:from>
    <xdr:to>
      <xdr:col>19</xdr:col>
      <xdr:colOff>472440</xdr:colOff>
      <xdr:row>3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9" name="Monthly_Admission">
              <a:extLst>
                <a:ext uri="{FF2B5EF4-FFF2-40B4-BE49-F238E27FC236}">
                  <a16:creationId xmlns:a16="http://schemas.microsoft.com/office/drawing/2014/main" id="{00000000-0008-0000-0200-00004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ly_Admiss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6350" y="9525"/>
              <a:ext cx="315849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22</xdr:row>
      <xdr:rowOff>149860</xdr:rowOff>
    </xdr:from>
    <xdr:to>
      <xdr:col>2</xdr:col>
      <xdr:colOff>114300</xdr:colOff>
      <xdr:row>27</xdr:row>
      <xdr:rowOff>153035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0" name="Gender 1">
              <a:extLst>
                <a:ext uri="{FF2B5EF4-FFF2-40B4-BE49-F238E27FC236}">
                  <a16:creationId xmlns:a16="http://schemas.microsoft.com/office/drawing/2014/main" id="{00000000-0008-0000-0200-00005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4531360"/>
              <a:ext cx="1332865" cy="955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27</xdr:row>
      <xdr:rowOff>170180</xdr:rowOff>
    </xdr:from>
    <xdr:to>
      <xdr:col>2</xdr:col>
      <xdr:colOff>105410</xdr:colOff>
      <xdr:row>33</xdr:row>
      <xdr:rowOff>31115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1" name="Outcome">
              <a:extLst>
                <a:ext uri="{FF2B5EF4-FFF2-40B4-BE49-F238E27FC236}">
                  <a16:creationId xmlns:a16="http://schemas.microsoft.com/office/drawing/2014/main" id="{00000000-0008-0000-0200-00005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com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5504180"/>
              <a:ext cx="1315085" cy="1003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33</xdr:row>
      <xdr:rowOff>41275</xdr:rowOff>
    </xdr:from>
    <xdr:to>
      <xdr:col>2</xdr:col>
      <xdr:colOff>94615</xdr:colOff>
      <xdr:row>45</xdr:row>
      <xdr:rowOff>3810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2" name="Diagnosis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gnosi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6518275"/>
              <a:ext cx="1304290" cy="2248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</xdr:col>
      <xdr:colOff>130810</xdr:colOff>
      <xdr:row>22</xdr:row>
      <xdr:rowOff>147320</xdr:rowOff>
    </xdr:from>
    <xdr:ext cx="3054350" cy="543560"/>
    <xdr:sp macro="" textlink="">
      <xdr:nvSpPr>
        <xdr:cNvPr id="83" name="Text 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 rot="10800000" flipV="1">
          <a:off x="1350010" y="4528820"/>
          <a:ext cx="3054350" cy="543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2000">
              <a:solidFill>
                <a:schemeClr val="bg1"/>
              </a:solidFill>
            </a:rPr>
            <a:t>Gender Treatment Analysis</a:t>
          </a:r>
        </a:p>
      </xdr:txBody>
    </xdr:sp>
    <xdr:clientData/>
  </xdr:oneCellAnchor>
  <xdr:oneCellAnchor>
    <xdr:from>
      <xdr:col>0</xdr:col>
      <xdr:colOff>99695</xdr:colOff>
      <xdr:row>44</xdr:row>
      <xdr:rowOff>171450</xdr:rowOff>
    </xdr:from>
    <xdr:ext cx="2410460" cy="454025"/>
    <xdr:sp macro="" textlink="">
      <xdr:nvSpPr>
        <xdr:cNvPr id="84" name="Text 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99695" y="8743950"/>
          <a:ext cx="2410460" cy="454025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800">
              <a:solidFill>
                <a:schemeClr val="bg1"/>
              </a:solidFill>
            </a:rPr>
            <a:t>Treatment Cost Analysis </a:t>
          </a:r>
        </a:p>
      </xdr:txBody>
    </xdr:sp>
    <xdr:clientData/>
  </xdr:oneCellAnchor>
  <xdr:twoCellAnchor>
    <xdr:from>
      <xdr:col>2</xdr:col>
      <xdr:colOff>109855</xdr:colOff>
      <xdr:row>47</xdr:row>
      <xdr:rowOff>85090</xdr:rowOff>
    </xdr:from>
    <xdr:to>
      <xdr:col>9</xdr:col>
      <xdr:colOff>592455</xdr:colOff>
      <xdr:row>57</xdr:row>
      <xdr:rowOff>106680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12700</xdr:colOff>
      <xdr:row>45</xdr:row>
      <xdr:rowOff>0</xdr:rowOff>
    </xdr:from>
    <xdr:to>
      <xdr:col>19</xdr:col>
      <xdr:colOff>162560</xdr:colOff>
      <xdr:row>56</xdr:row>
      <xdr:rowOff>93980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</xdr:col>
      <xdr:colOff>66040</xdr:colOff>
      <xdr:row>44</xdr:row>
      <xdr:rowOff>173355</xdr:rowOff>
    </xdr:from>
    <xdr:to>
      <xdr:col>6</xdr:col>
      <xdr:colOff>311785</xdr:colOff>
      <xdr:row>47</xdr:row>
      <xdr:rowOff>132080</xdr:rowOff>
    </xdr:to>
    <xdr:sp macro="" textlink="">
      <xdr:nvSpPr>
        <xdr:cNvPr id="87" name="Rounded Rectangl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2504440" y="8745855"/>
          <a:ext cx="1464945" cy="53022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twoCellAnchor>
    <xdr:from>
      <xdr:col>4</xdr:col>
      <xdr:colOff>98425</xdr:colOff>
      <xdr:row>45</xdr:row>
      <xdr:rowOff>20320</xdr:rowOff>
    </xdr:from>
    <xdr:to>
      <xdr:col>6</xdr:col>
      <xdr:colOff>311785</xdr:colOff>
      <xdr:row>47</xdr:row>
      <xdr:rowOff>94615</xdr:rowOff>
    </xdr:to>
    <xdr:sp macro="" textlink="">
      <xdr:nvSpPr>
        <xdr:cNvPr id="88" name="Rounded Rectangl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2536825" y="8783320"/>
          <a:ext cx="1432560" cy="455295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>
              <a:ln>
                <a:noFill/>
              </a:ln>
              <a:solidFill>
                <a:schemeClr val="accent1"/>
              </a:solidFill>
            </a:rPr>
            <a:t>Total Treatment Cost</a:t>
          </a:r>
        </a:p>
      </xdr:txBody>
    </xdr:sp>
    <xdr:clientData/>
  </xdr:twoCellAnchor>
  <xdr:twoCellAnchor>
    <xdr:from>
      <xdr:col>6</xdr:col>
      <xdr:colOff>353695</xdr:colOff>
      <xdr:row>44</xdr:row>
      <xdr:rowOff>183515</xdr:rowOff>
    </xdr:from>
    <xdr:to>
      <xdr:col>9</xdr:col>
      <xdr:colOff>593725</xdr:colOff>
      <xdr:row>47</xdr:row>
      <xdr:rowOff>103505</xdr:rowOff>
    </xdr:to>
    <xdr:sp macro="" textlink="">
      <xdr:nvSpPr>
        <xdr:cNvPr id="89" name="Rounded Rectangl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4011295" y="8756015"/>
          <a:ext cx="2068830" cy="491490"/>
        </a:xfrm>
        <a:prstGeom prst="roundRect">
          <a:avLst/>
        </a:prstGeom>
        <a:solidFill>
          <a:srgbClr val="92D050"/>
        </a:solidFill>
      </xdr:spPr>
      <xdr:style>
        <a:lnRef idx="0">
          <a:srgbClr val="FFFFFF"/>
        </a:lnRef>
        <a:fillRef idx="1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>
              <a:ln>
                <a:noFill/>
              </a:ln>
              <a:solidFill>
                <a:schemeClr val="accent1"/>
              </a:solidFill>
            </a:rPr>
            <a:t>Average Treatment Cost</a:t>
          </a:r>
        </a:p>
      </xdr:txBody>
    </xdr:sp>
    <xdr:clientData/>
  </xdr:twoCellAnchor>
  <xdr:oneCellAnchor>
    <xdr:from>
      <xdr:col>4</xdr:col>
      <xdr:colOff>149860</xdr:colOff>
      <xdr:row>46</xdr:row>
      <xdr:rowOff>45085</xdr:rowOff>
    </xdr:from>
    <xdr:ext cx="1253490" cy="219075"/>
    <xdr:sp macro="" textlink="Analysis!$I$17">
      <xdr:nvSpPr>
        <xdr:cNvPr id="90" name="Text 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2588260" y="8998585"/>
          <a:ext cx="1253490" cy="219075"/>
        </a:xfrm>
        <a:prstGeom prst="rect">
          <a:avLst/>
        </a:prstGeom>
      </xdr:spPr>
      <xdr:style>
        <a:lnRef idx="0">
          <a:srgbClr val="FFFFFF"/>
        </a:lnRef>
        <a:fillRef idx="1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/>
            <a:pPr algn="l"/>
            <a:t>₦51,048,968.00 </a:t>
          </a:fld>
          <a:endParaRPr lang="en-GB" altLang="en-US" sz="1100"/>
        </a:p>
      </xdr:txBody>
    </xdr:sp>
    <xdr:clientData/>
  </xdr:oneCellAnchor>
  <xdr:oneCellAnchor>
    <xdr:from>
      <xdr:col>6</xdr:col>
      <xdr:colOff>486410</xdr:colOff>
      <xdr:row>46</xdr:row>
      <xdr:rowOff>48260</xdr:rowOff>
    </xdr:from>
    <xdr:ext cx="1332230" cy="217805"/>
    <xdr:sp macro="" textlink="Analysis!$G$24">
      <xdr:nvSpPr>
        <xdr:cNvPr id="91" name="Text 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4144010" y="9001760"/>
          <a:ext cx="1332230" cy="21780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GB" altLang="en-US" sz="1100"/>
            <a:pPr algn="ctr"/>
            <a:t>₦255,244.84 </a:t>
          </a:fld>
          <a:endParaRPr lang="en-GB" altLang="en-US" sz="1100"/>
        </a:p>
      </xdr:txBody>
    </xdr:sp>
    <xdr:clientData/>
  </xdr:oneCellAnchor>
  <xdr:twoCellAnchor>
    <xdr:from>
      <xdr:col>2</xdr:col>
      <xdr:colOff>165100</xdr:colOff>
      <xdr:row>92</xdr:row>
      <xdr:rowOff>74930</xdr:rowOff>
    </xdr:from>
    <xdr:to>
      <xdr:col>8</xdr:col>
      <xdr:colOff>487680</xdr:colOff>
      <xdr:row>109</xdr:row>
      <xdr:rowOff>14605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9525</xdr:colOff>
      <xdr:row>47</xdr:row>
      <xdr:rowOff>59690</xdr:rowOff>
    </xdr:from>
    <xdr:to>
      <xdr:col>2</xdr:col>
      <xdr:colOff>97790</xdr:colOff>
      <xdr:row>56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3" name="Diagnosis 2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gnosis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9203690"/>
              <a:ext cx="1307465" cy="1685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24130</xdr:colOff>
      <xdr:row>63</xdr:row>
      <xdr:rowOff>86995</xdr:rowOff>
    </xdr:from>
    <xdr:to>
      <xdr:col>2</xdr:col>
      <xdr:colOff>90170</xdr:colOff>
      <xdr:row>66</xdr:row>
      <xdr:rowOff>150495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4" name="Length_of_Stay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ngth_of_Sta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0" y="12278995"/>
              <a:ext cx="1285240" cy="82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56</xdr:row>
      <xdr:rowOff>41910</xdr:rowOff>
    </xdr:from>
    <xdr:to>
      <xdr:col>2</xdr:col>
      <xdr:colOff>88900</xdr:colOff>
      <xdr:row>63</xdr:row>
      <xdr:rowOff>76835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5" name="Age 3">
              <a:extLst>
                <a:ext uri="{FF2B5EF4-FFF2-40B4-BE49-F238E27FC236}">
                  <a16:creationId xmlns:a16="http://schemas.microsoft.com/office/drawing/2014/main" id="{00000000-0008-0000-0200-00005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3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0900410"/>
              <a:ext cx="1298575" cy="136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399415</xdr:colOff>
      <xdr:row>67</xdr:row>
      <xdr:rowOff>179070</xdr:rowOff>
    </xdr:from>
    <xdr:to>
      <xdr:col>19</xdr:col>
      <xdr:colOff>198755</xdr:colOff>
      <xdr:row>90</xdr:row>
      <xdr:rowOff>46355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oneCellAnchor>
    <xdr:from>
      <xdr:col>2</xdr:col>
      <xdr:colOff>27940</xdr:colOff>
      <xdr:row>68</xdr:row>
      <xdr:rowOff>1905</xdr:rowOff>
    </xdr:from>
    <xdr:ext cx="4598670" cy="340360"/>
    <xdr:sp macro="" textlink="">
      <xdr:nvSpPr>
        <xdr:cNvPr id="101" name="Text 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 flipH="1">
          <a:off x="1247140" y="13336905"/>
          <a:ext cx="4598670" cy="3403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800">
              <a:solidFill>
                <a:schemeClr val="bg1"/>
              </a:solidFill>
            </a:rPr>
            <a:t>Treatment Cost Analysis Per City</a:t>
          </a:r>
        </a:p>
      </xdr:txBody>
    </xdr:sp>
    <xdr:clientData/>
  </xdr:oneCellAnchor>
  <xdr:oneCellAnchor>
    <xdr:from>
      <xdr:col>2</xdr:col>
      <xdr:colOff>176530</xdr:colOff>
      <xdr:row>90</xdr:row>
      <xdr:rowOff>69215</xdr:rowOff>
    </xdr:from>
    <xdr:ext cx="5551805" cy="392430"/>
    <xdr:sp macro="" textlink="">
      <xdr:nvSpPr>
        <xdr:cNvPr id="102" name="Text 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 rot="10800000" flipV="1">
          <a:off x="1395730" y="17595215"/>
          <a:ext cx="5551805" cy="39243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800">
              <a:solidFill>
                <a:schemeClr val="bg1"/>
              </a:solidFill>
            </a:rPr>
            <a:t>Hospital Performance Analysis </a:t>
          </a:r>
        </a:p>
      </xdr:txBody>
    </xdr:sp>
    <xdr:clientData/>
  </xdr:oneCellAnchor>
  <xdr:twoCellAnchor editAs="oneCell">
    <xdr:from>
      <xdr:col>0</xdr:col>
      <xdr:colOff>46355</xdr:colOff>
      <xdr:row>67</xdr:row>
      <xdr:rowOff>160655</xdr:rowOff>
    </xdr:from>
    <xdr:to>
      <xdr:col>1</xdr:col>
      <xdr:colOff>593090</xdr:colOff>
      <xdr:row>77</xdr:row>
      <xdr:rowOff>57785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5" name="City 4">
              <a:extLst>
                <a:ext uri="{FF2B5EF4-FFF2-40B4-BE49-F238E27FC236}">
                  <a16:creationId xmlns:a16="http://schemas.microsoft.com/office/drawing/2014/main" id="{00000000-0008-0000-0200-00006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4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55" y="13305155"/>
              <a:ext cx="1156335" cy="1802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50165</xdr:colOff>
      <xdr:row>77</xdr:row>
      <xdr:rowOff>59690</xdr:rowOff>
    </xdr:from>
    <xdr:to>
      <xdr:col>2</xdr:col>
      <xdr:colOff>27940</xdr:colOff>
      <xdr:row>90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" name="Diagnosis 5">
              <a:extLst>
                <a:ext uri="{FF2B5EF4-FFF2-40B4-BE49-F238E27FC236}">
                  <a16:creationId xmlns:a16="http://schemas.microsoft.com/office/drawing/2014/main" id="{00000000-0008-0000-0200-00006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gnosis 5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65" y="15109190"/>
              <a:ext cx="1196975" cy="2473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90</xdr:row>
      <xdr:rowOff>81280</xdr:rowOff>
    </xdr:from>
    <xdr:to>
      <xdr:col>2</xdr:col>
      <xdr:colOff>170180</xdr:colOff>
      <xdr:row>97</xdr:row>
      <xdr:rowOff>188595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7" name="Hospital">
              <a:extLst>
                <a:ext uri="{FF2B5EF4-FFF2-40B4-BE49-F238E27FC236}">
                  <a16:creationId xmlns:a16="http://schemas.microsoft.com/office/drawing/2014/main" id="{00000000-0008-0000-0200-00006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spital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7607280"/>
              <a:ext cx="1379855" cy="1440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106</xdr:row>
      <xdr:rowOff>158750</xdr:rowOff>
    </xdr:from>
    <xdr:to>
      <xdr:col>2</xdr:col>
      <xdr:colOff>160655</xdr:colOff>
      <xdr:row>120</xdr:row>
      <xdr:rowOff>75565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8" name="Monthly Revenue">
              <a:extLst>
                <a:ext uri="{FF2B5EF4-FFF2-40B4-BE49-F238E27FC236}">
                  <a16:creationId xmlns:a16="http://schemas.microsoft.com/office/drawing/2014/main" id="{00000000-0008-0000-0200-00006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ly Revenu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0732750"/>
              <a:ext cx="1370330" cy="2583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97</xdr:row>
      <xdr:rowOff>141605</xdr:rowOff>
    </xdr:from>
    <xdr:to>
      <xdr:col>2</xdr:col>
      <xdr:colOff>176530</xdr:colOff>
      <xdr:row>106</xdr:row>
      <xdr:rowOff>157480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9" name="Diagnosis 6">
              <a:extLst>
                <a:ext uri="{FF2B5EF4-FFF2-40B4-BE49-F238E27FC236}">
                  <a16:creationId xmlns:a16="http://schemas.microsoft.com/office/drawing/2014/main" id="{00000000-0008-0000-0200-00006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gnosis 6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9001105"/>
              <a:ext cx="1386205" cy="1730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46990</xdr:colOff>
      <xdr:row>90</xdr:row>
      <xdr:rowOff>71755</xdr:rowOff>
    </xdr:from>
    <xdr:to>
      <xdr:col>16</xdr:col>
      <xdr:colOff>436880</xdr:colOff>
      <xdr:row>92</xdr:row>
      <xdr:rowOff>139065</xdr:rowOff>
    </xdr:to>
    <xdr:sp macro="" textlink="">
      <xdr:nvSpPr>
        <xdr:cNvPr id="110" name="Rounded Rectangl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8581390" y="17597755"/>
          <a:ext cx="1609090" cy="44831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192405</xdr:colOff>
      <xdr:row>90</xdr:row>
      <xdr:rowOff>71755</xdr:rowOff>
    </xdr:from>
    <xdr:to>
      <xdr:col>16</xdr:col>
      <xdr:colOff>467360</xdr:colOff>
      <xdr:row>92</xdr:row>
      <xdr:rowOff>120015</xdr:rowOff>
    </xdr:to>
    <xdr:sp macro="" textlink="">
      <xdr:nvSpPr>
        <xdr:cNvPr id="111" name="Rounded Rectangl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8726805" y="17597755"/>
          <a:ext cx="1494155" cy="42926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chemeClr val="bg1"/>
              </a:solidFill>
            </a:rPr>
            <a:t>Recovery Rate</a:t>
          </a:r>
        </a:p>
      </xdr:txBody>
    </xdr:sp>
    <xdr:clientData/>
  </xdr:twoCellAnchor>
  <xdr:oneCellAnchor>
    <xdr:from>
      <xdr:col>14</xdr:col>
      <xdr:colOff>292100</xdr:colOff>
      <xdr:row>91</xdr:row>
      <xdr:rowOff>124460</xdr:rowOff>
    </xdr:from>
    <xdr:ext cx="1251585" cy="227330"/>
    <xdr:sp macro="" textlink="Analysis!$J$26">
      <xdr:nvSpPr>
        <xdr:cNvPr id="112" name="Text Box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8826500" y="17840960"/>
          <a:ext cx="1251585" cy="22733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GB" altLang="en-US" sz="110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pPr algn="ctr"/>
            <a:t>88%</a:t>
          </a:fld>
          <a:endParaRPr lang="en-GB" altLang="en-US" sz="11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16</xdr:col>
      <xdr:colOff>467995</xdr:colOff>
      <xdr:row>90</xdr:row>
      <xdr:rowOff>63500</xdr:rowOff>
    </xdr:from>
    <xdr:to>
      <xdr:col>19</xdr:col>
      <xdr:colOff>248285</xdr:colOff>
      <xdr:row>92</xdr:row>
      <xdr:rowOff>131445</xdr:rowOff>
    </xdr:to>
    <xdr:sp macro="" textlink="">
      <xdr:nvSpPr>
        <xdr:cNvPr id="113" name="Rounded Rectangl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10221595" y="17589500"/>
          <a:ext cx="1609090" cy="44894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twoCellAnchor>
    <xdr:from>
      <xdr:col>16</xdr:col>
      <xdr:colOff>599440</xdr:colOff>
      <xdr:row>90</xdr:row>
      <xdr:rowOff>63500</xdr:rowOff>
    </xdr:from>
    <xdr:to>
      <xdr:col>19</xdr:col>
      <xdr:colOff>419100</xdr:colOff>
      <xdr:row>92</xdr:row>
      <xdr:rowOff>112395</xdr:rowOff>
    </xdr:to>
    <xdr:sp macro="" textlink="">
      <xdr:nvSpPr>
        <xdr:cNvPr id="114" name="Rounded Rectangl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10353040" y="17589500"/>
          <a:ext cx="1648460" cy="42989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chemeClr val="bg1"/>
              </a:solidFill>
            </a:rPr>
            <a:t>Number of Patient</a:t>
          </a:r>
        </a:p>
      </xdr:txBody>
    </xdr:sp>
    <xdr:clientData/>
  </xdr:twoCellAnchor>
  <xdr:oneCellAnchor>
    <xdr:from>
      <xdr:col>17</xdr:col>
      <xdr:colOff>356870</xdr:colOff>
      <xdr:row>91</xdr:row>
      <xdr:rowOff>98425</xdr:rowOff>
    </xdr:from>
    <xdr:ext cx="418465" cy="190500"/>
    <xdr:sp macro="" textlink="Analysis!$K$35">
      <xdr:nvSpPr>
        <xdr:cNvPr id="115" name="Text Box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10720070" y="17814925"/>
          <a:ext cx="418465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pPr algn="l"/>
            <a:t>200 </a:t>
          </a:fld>
          <a:endParaRPr lang="en-GB" alt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7</xdr:col>
      <xdr:colOff>146685</xdr:colOff>
      <xdr:row>23</xdr:row>
      <xdr:rowOff>17780</xdr:rowOff>
    </xdr:from>
    <xdr:to>
      <xdr:col>9</xdr:col>
      <xdr:colOff>175260</xdr:colOff>
      <xdr:row>25</xdr:row>
      <xdr:rowOff>104140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413885" y="4589780"/>
          <a:ext cx="1247775" cy="46736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244475</xdr:colOff>
      <xdr:row>23</xdr:row>
      <xdr:rowOff>0</xdr:rowOff>
    </xdr:from>
    <xdr:to>
      <xdr:col>9</xdr:col>
      <xdr:colOff>170180</xdr:colOff>
      <xdr:row>25</xdr:row>
      <xdr:rowOff>95250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511675" y="4572000"/>
          <a:ext cx="1144905" cy="47625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rgbClr val="F8F3F8"/>
              </a:solidFill>
            </a:rPr>
            <a:t>Total Discharge</a:t>
          </a:r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oneCellAnchor>
    <xdr:from>
      <xdr:col>8</xdr:col>
      <xdr:colOff>137160</xdr:colOff>
      <xdr:row>24</xdr:row>
      <xdr:rowOff>45720</xdr:rowOff>
    </xdr:from>
    <xdr:ext cx="448945" cy="217170"/>
    <xdr:sp macro="" textlink="Analysis!$K$34">
      <xdr:nvSpPr>
        <xdr:cNvPr id="39" name="Text 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5013960" y="4808220"/>
          <a:ext cx="448945" cy="21717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/>
            <a:pPr algn="l"/>
            <a:t>176 </a:t>
          </a:fld>
          <a:endParaRPr lang="en-GB" altLang="en-US" sz="1100"/>
        </a:p>
      </xdr:txBody>
    </xdr:sp>
    <xdr:clientData/>
  </xdr:oneCellAnchor>
  <xdr:twoCellAnchor>
    <xdr:from>
      <xdr:col>13</xdr:col>
      <xdr:colOff>190500</xdr:colOff>
      <xdr:row>22</xdr:row>
      <xdr:rowOff>182880</xdr:rowOff>
    </xdr:from>
    <xdr:to>
      <xdr:col>15</xdr:col>
      <xdr:colOff>149225</xdr:colOff>
      <xdr:row>25</xdr:row>
      <xdr:rowOff>78740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115300" y="4564380"/>
          <a:ext cx="1177925" cy="46736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252730</xdr:colOff>
      <xdr:row>22</xdr:row>
      <xdr:rowOff>165100</xdr:rowOff>
    </xdr:from>
    <xdr:to>
      <xdr:col>15</xdr:col>
      <xdr:colOff>123825</xdr:colOff>
      <xdr:row>25</xdr:row>
      <xdr:rowOff>70485</xdr:rowOff>
    </xdr:to>
    <xdr:sp macro="" textlink="">
      <xdr:nvSpPr>
        <xdr:cNvPr id="45" name="Rounded 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8177530" y="4546600"/>
          <a:ext cx="1090295" cy="47688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rgbClr val="FFFFFF"/>
        </a:lnRef>
        <a:fillRef idx="1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>
              <a:ln>
                <a:noFill/>
              </a:ln>
              <a:solidFill>
                <a:srgbClr val="F8F3F8"/>
              </a:solidFill>
            </a:rPr>
            <a:t>       Total Male</a:t>
          </a:r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  <a:p>
          <a:pPr algn="l"/>
          <a:endParaRPr lang="en-GB" altLang="en-US" sz="1100">
            <a:ln>
              <a:noFill/>
            </a:ln>
            <a:solidFill>
              <a:schemeClr val="accent1"/>
            </a:solidFill>
          </a:endParaRPr>
        </a:p>
      </xdr:txBody>
    </xdr:sp>
    <xdr:clientData/>
  </xdr:twoCellAnchor>
  <xdr:oneCellAnchor>
    <xdr:from>
      <xdr:col>14</xdr:col>
      <xdr:colOff>36195</xdr:colOff>
      <xdr:row>24</xdr:row>
      <xdr:rowOff>20320</xdr:rowOff>
    </xdr:from>
    <xdr:ext cx="332105" cy="217170"/>
    <xdr:sp macro="" textlink="Analysis!$K$12">
      <xdr:nvSpPr>
        <xdr:cNvPr id="46" name="Text 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8570595" y="4782820"/>
          <a:ext cx="332105" cy="21717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GB" altLang="en-US" sz="1100" b="1">
              <a:solidFill>
                <a:sysClr val="windowText" lastClr="000000"/>
              </a:solidFill>
            </a:rPr>
            <a:pPr algn="l"/>
            <a:t>97</a:t>
          </a:fld>
          <a:endParaRPr lang="en-GB" altLang="en-US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13</xdr:col>
      <xdr:colOff>48895</xdr:colOff>
      <xdr:row>4</xdr:row>
      <xdr:rowOff>31115</xdr:rowOff>
    </xdr:from>
    <xdr:to>
      <xdr:col>19</xdr:col>
      <xdr:colOff>257810</xdr:colOff>
      <xdr:row>12</xdr:row>
      <xdr:rowOff>145415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5.668414351901" createdVersion="5" refreshedVersion="5" minRefreshableVersion="3" recordCount="200" xr:uid="{00000000-000A-0000-FFFF-FFFF00000000}">
  <cacheSource type="worksheet">
    <worksheetSource name="Table1"/>
  </cacheSource>
  <cacheFields count="12">
    <cacheField name="Patient_ID" numFmtId="0">
      <sharedItems count="200">
        <s v="P1000"/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  <s v="P1101"/>
        <s v="P1102"/>
        <s v="P1103"/>
        <s v="P1104"/>
        <s v="P1105"/>
        <s v="P1106"/>
        <s v="P1107"/>
        <s v="P1108"/>
        <s v="P1109"/>
        <s v="P1110"/>
        <s v="P1111"/>
        <s v="P1112"/>
        <s v="P1113"/>
        <s v="P1114"/>
        <s v="P1115"/>
        <s v="P1116"/>
        <s v="P1117"/>
        <s v="P1118"/>
        <s v="P1119"/>
        <s v="P1120"/>
        <s v="P1121"/>
        <s v="P1122"/>
        <s v="P1123"/>
        <s v="P1124"/>
        <s v="P1125"/>
        <s v="P1126"/>
        <s v="P1127"/>
        <s v="P1128"/>
        <s v="P1129"/>
        <s v="P1130"/>
        <s v="P1131"/>
        <s v="P1132"/>
        <s v="P1133"/>
        <s v="P1134"/>
        <s v="P1135"/>
        <s v="P1136"/>
        <s v="P1137"/>
        <s v="P1138"/>
        <s v="P1139"/>
        <s v="P1140"/>
        <s v="P1141"/>
        <s v="P1142"/>
        <s v="P1143"/>
        <s v="P1144"/>
        <s v="P1145"/>
        <s v="P1146"/>
        <s v="P1147"/>
        <s v="P1148"/>
        <s v="P1149"/>
        <s v="P1150"/>
        <s v="P1151"/>
        <s v="P1152"/>
        <s v="P1153"/>
        <s v="P1154"/>
        <s v="P1155"/>
        <s v="P1156"/>
        <s v="P1157"/>
        <s v="P1158"/>
        <s v="P1159"/>
        <s v="P1160"/>
        <s v="P1161"/>
        <s v="P1162"/>
        <s v="P1163"/>
        <s v="P1164"/>
        <s v="P1165"/>
        <s v="P1166"/>
        <s v="P1167"/>
        <s v="P1168"/>
        <s v="P1169"/>
        <s v="P1170"/>
        <s v="P1171"/>
        <s v="P1172"/>
        <s v="P1173"/>
        <s v="P1174"/>
        <s v="P1175"/>
        <s v="P1176"/>
        <s v="P1177"/>
        <s v="P1178"/>
        <s v="P1179"/>
        <s v="P1180"/>
        <s v="P1181"/>
        <s v="P1182"/>
        <s v="P1183"/>
        <s v="P1184"/>
        <s v="P1185"/>
        <s v="P1186"/>
        <s v="P1187"/>
        <s v="P1188"/>
        <s v="P1189"/>
        <s v="P1190"/>
        <s v="P1191"/>
        <s v="P1192"/>
        <s v="P1193"/>
        <s v="P1194"/>
        <s v="P1195"/>
        <s v="P1196"/>
        <s v="P1197"/>
        <s v="P1198"/>
        <s v="P1199"/>
      </sharedItems>
    </cacheField>
    <cacheField name="Age" numFmtId="0">
      <sharedItems containsSemiMixedTypes="0" containsString="0" containsNumber="1" containsInteger="1" minValue="18" maxValue="79" count="60">
        <n v="56"/>
        <n v="69"/>
        <n v="46"/>
        <n v="32"/>
        <n v="60"/>
        <n v="25"/>
        <n v="78"/>
        <n v="38"/>
        <n v="75"/>
        <n v="36"/>
        <n v="40"/>
        <n v="28"/>
        <n v="41"/>
        <n v="70"/>
        <n v="53"/>
        <n v="57"/>
        <n v="20"/>
        <n v="39"/>
        <n v="19"/>
        <n v="61"/>
        <n v="47"/>
        <n v="55"/>
        <n v="77"/>
        <n v="50"/>
        <n v="29"/>
        <n v="42"/>
        <n v="66"/>
        <n v="44"/>
        <n v="76"/>
        <n v="59"/>
        <n v="45"/>
        <n v="33"/>
        <n v="79"/>
        <n v="64"/>
        <n v="68"/>
        <n v="72"/>
        <n v="74"/>
        <n v="54"/>
        <n v="24"/>
        <n v="26"/>
        <n v="35"/>
        <n v="21"/>
        <n v="31"/>
        <n v="67"/>
        <n v="43"/>
        <n v="37"/>
        <n v="52"/>
        <n v="34"/>
        <n v="23"/>
        <n v="71"/>
        <n v="51"/>
        <n v="27"/>
        <n v="48"/>
        <n v="65"/>
        <n v="62"/>
        <n v="58"/>
        <n v="18"/>
        <n v="22"/>
        <n v="30"/>
        <n v="49"/>
      </sharedItems>
      <fieldGroup base="1">
        <rangePr startNum="18" endNum="79" groupInterval="5"/>
        <groupItems count="15">
          <s v="&lt;18"/>
          <s v="18-22"/>
          <s v="23-27"/>
          <s v="28-32"/>
          <s v="33-37"/>
          <s v="38-42"/>
          <s v="43-47"/>
          <s v="48-52"/>
          <s v="53-57"/>
          <s v="58-62"/>
          <s v="63-67"/>
          <s v="68-72"/>
          <s v="73-77"/>
          <s v="78-79"/>
          <s v="&gt;79"/>
        </groupItems>
      </fieldGroup>
    </cacheField>
    <cacheField name="Gender" numFmtId="0">
      <sharedItems count="2">
        <s v="Female"/>
        <s v="Male"/>
      </sharedItems>
    </cacheField>
    <cacheField name="Diagnosis" numFmtId="0">
      <sharedItems count="5">
        <s v="COVID-19"/>
        <s v="Hypertension"/>
        <s v="Malaria"/>
        <s v="Asthma"/>
        <s v="Diabetes"/>
      </sharedItems>
    </cacheField>
    <cacheField name="Admission_Date" numFmtId="14">
      <sharedItems containsSemiMixedTypes="0" containsNonDate="0" containsDate="1" containsString="0" minDate="2024-01-01T00:00:00" maxDate="2024-06-28T00:00:00" count="123">
        <d v="2024-01-29T00:00:00"/>
        <d v="2024-05-20T00:00:00"/>
        <d v="2024-01-12T00:00:00"/>
        <d v="2024-04-04T00:00:00"/>
        <d v="2024-02-15T00:00:00"/>
        <d v="2024-05-09T00:00:00"/>
        <d v="2024-02-04T00:00:00"/>
        <d v="2024-03-21T00:00:00"/>
        <d v="2024-03-30T00:00:00"/>
        <d v="2024-01-08T00:00:00"/>
        <d v="2024-04-02T00:00:00"/>
        <d v="2024-06-02T00:00:00"/>
        <d v="2024-06-10T00:00:00"/>
        <d v="2024-04-24T00:00:00"/>
        <d v="2024-04-14T00:00:00"/>
        <d v="2024-05-14T00:00:00"/>
        <d v="2024-02-27T00:00:00"/>
        <d v="2024-04-23T00:00:00"/>
        <d v="2024-03-15T00:00:00"/>
        <d v="2024-06-05T00:00:00"/>
        <d v="2024-04-29T00:00:00"/>
        <d v="2024-06-12T00:00:00"/>
        <d v="2024-01-21T00:00:00"/>
        <d v="2024-05-17T00:00:00"/>
        <d v="2024-04-10T00:00:00"/>
        <d v="2024-05-31T00:00:00"/>
        <d v="2024-06-25T00:00:00"/>
        <d v="2024-04-08T00:00:00"/>
        <d v="2024-02-05T00:00:00"/>
        <d v="2024-04-05T00:00:00"/>
        <d v="2024-05-30T00:00:00"/>
        <d v="2024-02-06T00:00:00"/>
        <d v="2024-04-22T00:00:00"/>
        <d v="2024-01-13T00:00:00"/>
        <d v="2024-01-23T00:00:00"/>
        <d v="2024-01-30T00:00:00"/>
        <d v="2024-01-17T00:00:00"/>
        <d v="2024-03-02T00:00:00"/>
        <d v="2024-03-24T00:00:00"/>
        <d v="2024-04-21T00:00:00"/>
        <d v="2024-03-26T00:00:00"/>
        <d v="2024-01-19T00:00:00"/>
        <d v="2024-04-09T00:00:00"/>
        <d v="2024-05-19T00:00:00"/>
        <d v="2024-05-26T00:00:00"/>
        <d v="2024-03-16T00:00:00"/>
        <d v="2024-01-09T00:00:00"/>
        <d v="2024-01-28T00:00:00"/>
        <d v="2024-05-07T00:00:00"/>
        <d v="2024-02-21T00:00:00"/>
        <d v="2024-03-23T00:00:00"/>
        <d v="2024-04-20T00:00:00"/>
        <d v="2024-05-23T00:00:00"/>
        <d v="2024-04-26T00:00:00"/>
        <d v="2024-03-09T00:00:00"/>
        <d v="2024-01-25T00:00:00"/>
        <d v="2024-06-28T00:00:00"/>
        <d v="2024-05-02T00:00:00"/>
        <d v="2024-02-22T00:00:00"/>
        <d v="2024-02-26T00:00:00"/>
        <d v="2024-02-08T00:00:00"/>
        <d v="2024-04-18T00:00:00"/>
        <d v="2024-02-11T00:00:00"/>
        <d v="2024-06-15T00:00:00"/>
        <d v="2024-05-21T00:00:00"/>
        <d v="2024-05-01T00:00:00"/>
        <d v="2024-05-12T00:00:00"/>
        <d v="2024-06-11T00:00:00"/>
        <d v="2024-05-25T00:00:00"/>
        <d v="2024-03-14T00:00:00"/>
        <d v="2024-05-24T00:00:00"/>
        <d v="2024-01-07T00:00:00"/>
        <d v="2024-06-22T00:00:00"/>
        <d v="2024-06-16T00:00:00"/>
        <d v="2024-06-18T00:00:00"/>
        <d v="2024-05-16T00:00:00"/>
        <d v="2024-06-26T00:00:00"/>
        <d v="2024-01-27T00:00:00"/>
        <d v="2024-01-05T00:00:00"/>
        <d v="2024-06-13T00:00:00"/>
        <d v="2024-06-14T00:00:00"/>
        <d v="2024-05-15T00:00:00"/>
        <d v="2024-03-05T00:00:00"/>
        <d v="2024-03-11T00:00:00"/>
        <d v="2024-02-14T00:00:00"/>
        <d v="2024-05-11T00:00:00"/>
        <d v="2024-03-10T00:00:00"/>
        <d v="2024-06-07T00:00:00"/>
        <d v="2024-04-17T00:00:00"/>
        <d v="2024-03-31T00:00:00"/>
        <d v="2024-05-05T00:00:00"/>
        <d v="2024-06-21T00:00:00"/>
        <d v="2024-05-27T00:00:00"/>
        <d v="2024-03-01T00:00:00"/>
        <d v="2024-05-06T00:00:00"/>
        <d v="2024-01-01T00:00:00"/>
        <d v="2024-05-10T00:00:00"/>
        <d v="2024-04-01T00:00:00"/>
        <d v="2024-06-01T00:00:00"/>
        <d v="2024-02-25T00:00:00"/>
        <d v="2024-06-09T00:00:00"/>
        <d v="2024-05-13T00:00:00"/>
        <d v="2024-02-13T00:00:00"/>
        <d v="2024-06-08T00:00:00"/>
        <d v="2024-02-16T00:00:00"/>
        <d v="2024-05-28T00:00:00"/>
        <d v="2024-03-20T00:00:00"/>
        <d v="2024-04-27T00:00:00"/>
        <d v="2024-01-20T00:00:00"/>
        <d v="2024-02-18T00:00:00"/>
        <d v="2024-01-14T00:00:00"/>
        <d v="2024-05-22T00:00:00"/>
        <d v="2024-02-23T00:00:00"/>
        <d v="2024-01-03T00:00:00"/>
        <d v="2024-01-16T00:00:00"/>
        <d v="2024-04-11T00:00:00"/>
        <d v="2024-06-04T00:00:00"/>
        <d v="2024-02-29T00:00:00"/>
        <d v="2024-02-10T00:00:00"/>
        <d v="2024-06-03T00:00:00"/>
        <d v="2024-03-22T00:00:00"/>
        <d v="2024-01-10T00:00:00"/>
        <d v="2024-04-28T00:00:00"/>
      </sharedItems>
    </cacheField>
    <cacheField name="Length_of_Stay" numFmtId="0">
      <sharedItems containsString="0" containsBlank="1" containsNumber="1" containsInteger="1" minValue="1" maxValue="14" count="15">
        <n v="8"/>
        <n v="1"/>
        <n v="6"/>
        <m/>
        <n v="2"/>
        <n v="11"/>
        <n v="5"/>
        <n v="10"/>
        <n v="9"/>
        <n v="13"/>
        <n v="3"/>
        <n v="7"/>
        <n v="12"/>
        <n v="14"/>
        <n v="4"/>
      </sharedItems>
      <fieldGroup base="5">
        <rangePr startNum="1" endNum="14" groupInterval="2"/>
        <groupItems count="9">
          <s v="(blank)"/>
          <s v="1-2"/>
          <s v="3-4"/>
          <s v="5-6"/>
          <s v="7-8"/>
          <s v="9-10"/>
          <s v="11-12"/>
          <s v="13-14"/>
          <s v="&gt;15"/>
        </groupItems>
      </fieldGroup>
    </cacheField>
    <cacheField name="Treatment_Cost" numFmtId="0">
      <sharedItems containsSemiMixedTypes="0" containsString="0" containsNumber="1" containsInteger="1" minValue="20846" maxValue="498871" count="200">
        <n v="156194"/>
        <n v="300174"/>
        <n v="364982"/>
        <n v="366861"/>
        <n v="468874"/>
        <n v="58638"/>
        <n v="349211"/>
        <n v="138033"/>
        <n v="125977"/>
        <n v="108869"/>
        <n v="125186"/>
        <n v="316818"/>
        <n v="186926"/>
        <n v="66271"/>
        <n v="355832"/>
        <n v="451734"/>
        <n v="393220"/>
        <n v="161339"/>
        <n v="241897"/>
        <n v="21062"/>
        <n v="267736"/>
        <n v="70448"/>
        <n v="115462"/>
        <n v="419445"/>
        <n v="470009"/>
        <n v="265885"/>
        <n v="67915"/>
        <n v="286776"/>
        <n v="124592"/>
        <n v="154668"/>
        <n v="391923"/>
        <n v="419384"/>
        <n v="128099"/>
        <n v="27561"/>
        <n v="487010"/>
        <n v="102152"/>
        <n v="145036"/>
        <n v="406193"/>
        <n v="46734"/>
        <n v="419587"/>
        <n v="46069"/>
        <n v="230977"/>
        <n v="32910"/>
        <n v="355623"/>
        <n v="490951"/>
        <n v="101264"/>
        <n v="43275"/>
        <n v="92274"/>
        <n v="494665"/>
        <n v="382920"/>
        <n v="211076"/>
        <n v="214053"/>
        <n v="497875"/>
        <n v="205625"/>
        <n v="68447"/>
        <n v="447745"/>
        <n v="408538"/>
        <n v="95703"/>
        <n v="358234"/>
        <n v="299404"/>
        <n v="132581"/>
        <n v="285956"/>
        <n v="441240"/>
        <n v="209728"/>
        <n v="398292"/>
        <n v="440501"/>
        <n v="136421"/>
        <n v="21605"/>
        <n v="484374"/>
        <n v="92303"/>
        <n v="178211"/>
        <n v="490365"/>
        <n v="207210"/>
        <n v="281949"/>
        <n v="358269"/>
        <n v="164990"/>
        <n v="498871"/>
        <n v="178518"/>
        <n v="144040"/>
        <n v="164118"/>
        <n v="438034"/>
        <n v="251966"/>
        <n v="286468"/>
        <n v="358467"/>
        <n v="291255"/>
        <n v="451326"/>
        <n v="36389"/>
        <n v="142177"/>
        <n v="323571"/>
        <n v="492795"/>
        <n v="179818"/>
        <n v="142883"/>
        <n v="238958"/>
        <n v="258213"/>
        <n v="413333"/>
        <n v="407952"/>
        <n v="132221"/>
        <n v="497687"/>
        <n v="295378"/>
        <n v="280669"/>
        <n v="254936"/>
        <n v="335585"/>
        <n v="20846"/>
        <n v="30954"/>
        <n v="361383"/>
        <n v="264761"/>
        <n v="328658"/>
        <n v="370380"/>
        <n v="379723"/>
        <n v="157541"/>
        <n v="443321"/>
        <n v="324245"/>
        <n v="84323"/>
        <n v="111922"/>
        <n v="209139"/>
        <n v="200448"/>
        <n v="196659"/>
        <n v="450192"/>
        <n v="255659"/>
        <n v="409678"/>
        <n v="349728"/>
        <n v="124537"/>
        <n v="360621"/>
        <n v="261983"/>
        <n v="62533"/>
        <n v="283972"/>
        <n v="21917"/>
        <n v="302762"/>
        <n v="52254"/>
        <n v="281987"/>
        <n v="387436"/>
        <n v="67362"/>
        <n v="302272"/>
        <n v="405925"/>
        <n v="262353"/>
        <n v="210455"/>
        <n v="85545"/>
        <n v="102180"/>
        <n v="107958"/>
        <n v="423081"/>
        <n v="415435"/>
        <n v="321953"/>
        <n v="398892"/>
        <n v="25287"/>
        <n v="277665"/>
        <n v="447603"/>
        <n v="28512"/>
        <n v="152414"/>
        <n v="476292"/>
        <n v="128872"/>
        <n v="432432"/>
        <n v="267754"/>
        <n v="113070"/>
        <n v="99767"/>
        <n v="117829"/>
        <n v="439830"/>
        <n v="449474"/>
        <n v="62078"/>
        <n v="388432"/>
        <n v="103524"/>
        <n v="247645"/>
        <n v="32219"/>
        <n v="282379"/>
        <n v="325073"/>
        <n v="147309"/>
        <n v="349588"/>
        <n v="159639"/>
        <n v="383978"/>
        <n v="484008"/>
        <n v="216513"/>
        <n v="366699"/>
        <n v="355842"/>
        <n v="406594"/>
        <n v="268320"/>
        <n v="156487"/>
        <n v="187231"/>
        <n v="63925"/>
        <n v="157023"/>
        <n v="107388"/>
        <n v="28007"/>
        <n v="277802"/>
        <n v="455048"/>
        <n v="78596"/>
        <n v="403245"/>
        <n v="443739"/>
        <n v="371005"/>
        <n v="275266"/>
        <n v="368884"/>
        <n v="35524"/>
        <n v="432498"/>
        <n v="175002"/>
        <n v="413293"/>
        <n v="145501"/>
        <n v="302755"/>
        <n v="168056"/>
        <n v="34060"/>
        <n v="234057"/>
        <n v="497272"/>
        <n v="325447"/>
        <n v="210279"/>
      </sharedItems>
    </cacheField>
    <cacheField name="Hospital" numFmtId="0">
      <sharedItems count="4">
        <s v="St Mary Hospital"/>
        <s v="City Care"/>
        <s v="Abuja Clinic"/>
        <s v="Lagos General"/>
      </sharedItems>
    </cacheField>
    <cacheField name="City" numFmtId="0">
      <sharedItems count="4">
        <s v="Ibadan"/>
        <s v="Abuja"/>
        <s v="Port Harcourt"/>
        <s v="Lagos"/>
      </sharedItems>
    </cacheField>
    <cacheField name="Outcome" numFmtId="0">
      <sharedItems count="2">
        <s v="Recovered"/>
        <s v="Death"/>
      </sharedItems>
    </cacheField>
    <cacheField name="Discharge_Date" numFmtId="14">
      <sharedItems containsSemiMixedTypes="0" containsNonDate="0" containsDate="1" containsString="0" minDate="2024-01-07T00:00:00" maxDate="2024-07-06T00:00:00" count="118">
        <d v="2024-02-06T00:00:00"/>
        <d v="2024-05-21T00:00:00"/>
        <d v="2024-01-18T00:00:00"/>
        <d v="2024-04-05T00:00:00"/>
        <d v="2024-02-17T00:00:00"/>
        <d v="2024-05-10T00:00:00"/>
        <d v="2024-02-15T00:00:00"/>
        <d v="2024-03-26T00:00:00"/>
        <d v="2024-04-09T00:00:00"/>
        <d v="2024-01-17T00:00:00"/>
        <d v="2024-04-08T00:00:00"/>
        <d v="2024-06-13T00:00:00"/>
        <d v="2024-04-10T00:00:00"/>
        <d v="2024-06-11T00:00:00"/>
        <d v="2024-05-07T00:00:00"/>
        <d v="2024-04-15T00:00:00"/>
        <d v="2024-05-16T00:00:00"/>
        <d v="2024-03-07T00:00:00"/>
        <d v="2024-04-26T00:00:00"/>
        <d v="2024-03-16T00:00:00"/>
        <d v="2024-06-10T00:00:00"/>
        <d v="2024-05-06T00:00:00"/>
        <d v="2024-06-18T00:00:00"/>
        <d v="2024-02-02T00:00:00"/>
        <d v="2024-05-22T00:00:00"/>
        <d v="2024-06-06T00:00:00"/>
        <d v="2024-06-28T00:00:00"/>
        <d v="2024-04-13T00:00:00"/>
        <d v="2024-02-12T00:00:00"/>
        <d v="2024-06-05T00:00:00"/>
        <d v="2024-06-04T00:00:00"/>
        <d v="2024-02-16T00:00:00"/>
        <d v="2024-01-22T00:00:00"/>
        <d v="2024-04-25T00:00:00"/>
        <d v="2024-01-14T00:00:00"/>
        <d v="2024-01-28T00:00:00"/>
        <d v="2024-04-22T00:00:00"/>
        <d v="2024-04-23T00:00:00"/>
        <d v="2024-02-13T00:00:00"/>
        <d v="2024-03-15T00:00:00"/>
        <d v="2024-04-06T00:00:00"/>
        <d v="2024-01-20T00:00:00"/>
        <d v="2024-07-03T00:00:00"/>
        <d v="2024-04-11T00:00:00"/>
        <d v="2024-05-31T00:00:00"/>
        <d v="2024-06-03T00:00:00"/>
        <d v="2024-03-23T00:00:00"/>
        <d v="2024-01-19T00:00:00"/>
        <d v="2024-02-07T00:00:00"/>
        <d v="2024-05-09T00:00:00"/>
        <d v="2024-02-27T00:00:00"/>
        <d v="2024-03-29T00:00:00"/>
        <d v="2024-04-28T00:00:00"/>
        <d v="2024-03-21T00:00:00"/>
        <d v="2024-05-25T00:00:00"/>
        <d v="2024-06-01T00:00:00"/>
        <d v="2024-06-29T00:00:00"/>
        <d v="2024-05-23T00:00:00"/>
        <d v="2024-05-12T00:00:00"/>
        <d v="2024-05-15T00:00:00"/>
        <d v="2024-03-18T00:00:00"/>
        <d v="2024-01-15T00:00:00"/>
        <d v="2024-05-26T00:00:00"/>
        <d v="2024-01-09T00:00:00"/>
        <d v="2024-07-06T00:00:00"/>
        <d v="2024-06-19T00:00:00"/>
        <d v="2024-06-20T00:00:00"/>
        <d v="2024-05-20T00:00:00"/>
        <d v="2024-07-05T00:00:00"/>
        <d v="2024-05-02T00:00:00"/>
        <d v="2024-01-13T00:00:00"/>
        <d v="2024-02-10T00:00:00"/>
        <d v="2024-06-27T00:00:00"/>
        <d v="2024-06-21T00:00:00"/>
        <d v="2024-04-02T00:00:00"/>
        <d v="2024-05-18T00:00:00"/>
        <d v="2024-04-19T00:00:00"/>
        <d v="2024-03-10T00:00:00"/>
        <d v="2024-05-28T00:00:00"/>
        <d v="2024-02-22T00:00:00"/>
        <d v="2024-03-11T00:00:00"/>
        <d v="2024-01-23T00:00:00"/>
        <d v="2024-01-24T00:00:00"/>
        <d v="2024-03-09T00:00:00"/>
        <d v="2024-05-30T00:00:00"/>
        <d v="2024-05-13T00:00:00"/>
        <d v="2024-04-21T00:00:00"/>
        <d v="2024-06-26T00:00:00"/>
        <d v="2024-01-07T00:00:00"/>
        <d v="2024-04-30T00:00:00"/>
        <d v="2024-03-04T00:00:00"/>
        <d v="2024-06-17T00:00:00"/>
        <d v="2024-04-29T00:00:00"/>
        <d v="2024-05-24T00:00:00"/>
        <d v="2024-07-04T00:00:00"/>
        <d v="2024-06-24T00:00:00"/>
        <d v="2024-02-21T00:00:00"/>
        <d v="2024-06-02T00:00:00"/>
        <d v="2024-03-22T00:00:00"/>
        <d v="2024-06-22T00:00:00"/>
        <d v="2024-06-08T00:00:00"/>
        <d v="2024-01-26T00:00:00"/>
        <d v="2024-02-19T00:00:00"/>
        <d v="2024-01-11T00:00:00"/>
        <d v="2024-02-25T00:00:00"/>
        <d v="2024-01-25T00:00:00"/>
        <d v="2024-03-25T00:00:00"/>
        <d v="2024-06-09T00:00:00"/>
        <d v="2024-01-16T00:00:00"/>
        <d v="2024-04-12T00:00:00"/>
        <d v="2024-06-25T00:00:00"/>
        <d v="2024-03-31T00:00:00"/>
        <d v="2024-02-05T00:00:00"/>
        <d v="2024-06-16T00:00:00"/>
        <d v="2024-02-18T00:00:00"/>
        <d v="2024-06-14T00:00:00"/>
        <d v="2024-01-08T00:00:00"/>
        <d v="2024-05-05T00:00:00"/>
      </sharedItems>
    </cacheField>
    <cacheField name="Monthly_Admission" numFmtId="0">
      <sharedItems count="6">
        <s v="Jan"/>
        <s v="May"/>
        <s v="Apr"/>
        <s v="Feb"/>
        <s v="Mar"/>
        <s v="Jun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1"/>
    <x v="1"/>
  </r>
  <r>
    <x v="2"/>
    <x v="2"/>
    <x v="1"/>
    <x v="2"/>
    <x v="2"/>
    <x v="2"/>
    <x v="2"/>
    <x v="2"/>
    <x v="1"/>
    <x v="0"/>
    <x v="2"/>
    <x v="0"/>
  </r>
  <r>
    <x v="3"/>
    <x v="3"/>
    <x v="1"/>
    <x v="1"/>
    <x v="3"/>
    <x v="3"/>
    <x v="3"/>
    <x v="1"/>
    <x v="1"/>
    <x v="0"/>
    <x v="3"/>
    <x v="2"/>
  </r>
  <r>
    <x v="4"/>
    <x v="4"/>
    <x v="1"/>
    <x v="2"/>
    <x v="4"/>
    <x v="4"/>
    <x v="4"/>
    <x v="0"/>
    <x v="2"/>
    <x v="0"/>
    <x v="4"/>
    <x v="3"/>
  </r>
  <r>
    <x v="5"/>
    <x v="5"/>
    <x v="1"/>
    <x v="3"/>
    <x v="5"/>
    <x v="1"/>
    <x v="5"/>
    <x v="3"/>
    <x v="1"/>
    <x v="0"/>
    <x v="5"/>
    <x v="1"/>
  </r>
  <r>
    <x v="6"/>
    <x v="6"/>
    <x v="1"/>
    <x v="4"/>
    <x v="6"/>
    <x v="5"/>
    <x v="6"/>
    <x v="2"/>
    <x v="3"/>
    <x v="0"/>
    <x v="6"/>
    <x v="3"/>
  </r>
  <r>
    <x v="7"/>
    <x v="7"/>
    <x v="1"/>
    <x v="4"/>
    <x v="7"/>
    <x v="6"/>
    <x v="7"/>
    <x v="3"/>
    <x v="3"/>
    <x v="0"/>
    <x v="7"/>
    <x v="4"/>
  </r>
  <r>
    <x v="8"/>
    <x v="0"/>
    <x v="0"/>
    <x v="4"/>
    <x v="8"/>
    <x v="7"/>
    <x v="8"/>
    <x v="0"/>
    <x v="0"/>
    <x v="0"/>
    <x v="8"/>
    <x v="4"/>
  </r>
  <r>
    <x v="9"/>
    <x v="8"/>
    <x v="1"/>
    <x v="1"/>
    <x v="9"/>
    <x v="8"/>
    <x v="9"/>
    <x v="0"/>
    <x v="3"/>
    <x v="1"/>
    <x v="9"/>
    <x v="0"/>
  </r>
  <r>
    <x v="10"/>
    <x v="9"/>
    <x v="0"/>
    <x v="3"/>
    <x v="10"/>
    <x v="2"/>
    <x v="10"/>
    <x v="0"/>
    <x v="2"/>
    <x v="0"/>
    <x v="10"/>
    <x v="2"/>
  </r>
  <r>
    <x v="11"/>
    <x v="10"/>
    <x v="1"/>
    <x v="2"/>
    <x v="11"/>
    <x v="5"/>
    <x v="11"/>
    <x v="3"/>
    <x v="3"/>
    <x v="0"/>
    <x v="11"/>
    <x v="5"/>
  </r>
  <r>
    <x v="12"/>
    <x v="11"/>
    <x v="1"/>
    <x v="0"/>
    <x v="8"/>
    <x v="5"/>
    <x v="12"/>
    <x v="3"/>
    <x v="3"/>
    <x v="0"/>
    <x v="12"/>
    <x v="4"/>
  </r>
  <r>
    <x v="13"/>
    <x v="11"/>
    <x v="1"/>
    <x v="2"/>
    <x v="12"/>
    <x v="1"/>
    <x v="13"/>
    <x v="3"/>
    <x v="2"/>
    <x v="0"/>
    <x v="13"/>
    <x v="5"/>
  </r>
  <r>
    <x v="14"/>
    <x v="12"/>
    <x v="0"/>
    <x v="0"/>
    <x v="13"/>
    <x v="9"/>
    <x v="14"/>
    <x v="3"/>
    <x v="1"/>
    <x v="0"/>
    <x v="14"/>
    <x v="2"/>
  </r>
  <r>
    <x v="15"/>
    <x v="13"/>
    <x v="0"/>
    <x v="2"/>
    <x v="14"/>
    <x v="1"/>
    <x v="15"/>
    <x v="0"/>
    <x v="1"/>
    <x v="1"/>
    <x v="15"/>
    <x v="2"/>
  </r>
  <r>
    <x v="16"/>
    <x v="14"/>
    <x v="0"/>
    <x v="3"/>
    <x v="15"/>
    <x v="4"/>
    <x v="16"/>
    <x v="0"/>
    <x v="2"/>
    <x v="0"/>
    <x v="16"/>
    <x v="1"/>
  </r>
  <r>
    <x v="17"/>
    <x v="15"/>
    <x v="0"/>
    <x v="0"/>
    <x v="16"/>
    <x v="8"/>
    <x v="17"/>
    <x v="2"/>
    <x v="0"/>
    <x v="0"/>
    <x v="17"/>
    <x v="3"/>
  </r>
  <r>
    <x v="18"/>
    <x v="12"/>
    <x v="1"/>
    <x v="1"/>
    <x v="17"/>
    <x v="10"/>
    <x v="18"/>
    <x v="2"/>
    <x v="3"/>
    <x v="0"/>
    <x v="18"/>
    <x v="2"/>
  </r>
  <r>
    <x v="19"/>
    <x v="16"/>
    <x v="0"/>
    <x v="2"/>
    <x v="18"/>
    <x v="1"/>
    <x v="19"/>
    <x v="3"/>
    <x v="2"/>
    <x v="0"/>
    <x v="19"/>
    <x v="4"/>
  </r>
  <r>
    <x v="20"/>
    <x v="17"/>
    <x v="1"/>
    <x v="2"/>
    <x v="19"/>
    <x v="6"/>
    <x v="20"/>
    <x v="1"/>
    <x v="3"/>
    <x v="0"/>
    <x v="20"/>
    <x v="5"/>
  </r>
  <r>
    <x v="21"/>
    <x v="13"/>
    <x v="1"/>
    <x v="0"/>
    <x v="20"/>
    <x v="11"/>
    <x v="21"/>
    <x v="1"/>
    <x v="0"/>
    <x v="0"/>
    <x v="21"/>
    <x v="2"/>
  </r>
  <r>
    <x v="22"/>
    <x v="18"/>
    <x v="0"/>
    <x v="1"/>
    <x v="21"/>
    <x v="2"/>
    <x v="22"/>
    <x v="0"/>
    <x v="3"/>
    <x v="0"/>
    <x v="22"/>
    <x v="5"/>
  </r>
  <r>
    <x v="23"/>
    <x v="12"/>
    <x v="0"/>
    <x v="1"/>
    <x v="22"/>
    <x v="12"/>
    <x v="23"/>
    <x v="0"/>
    <x v="2"/>
    <x v="0"/>
    <x v="23"/>
    <x v="0"/>
  </r>
  <r>
    <x v="24"/>
    <x v="19"/>
    <x v="0"/>
    <x v="3"/>
    <x v="21"/>
    <x v="1"/>
    <x v="24"/>
    <x v="0"/>
    <x v="3"/>
    <x v="0"/>
    <x v="11"/>
    <x v="5"/>
  </r>
  <r>
    <x v="25"/>
    <x v="20"/>
    <x v="0"/>
    <x v="1"/>
    <x v="23"/>
    <x v="6"/>
    <x v="25"/>
    <x v="2"/>
    <x v="1"/>
    <x v="0"/>
    <x v="24"/>
    <x v="1"/>
  </r>
  <r>
    <x v="26"/>
    <x v="21"/>
    <x v="0"/>
    <x v="1"/>
    <x v="24"/>
    <x v="6"/>
    <x v="26"/>
    <x v="2"/>
    <x v="0"/>
    <x v="0"/>
    <x v="15"/>
    <x v="2"/>
  </r>
  <r>
    <x v="27"/>
    <x v="18"/>
    <x v="0"/>
    <x v="1"/>
    <x v="25"/>
    <x v="2"/>
    <x v="27"/>
    <x v="0"/>
    <x v="0"/>
    <x v="0"/>
    <x v="25"/>
    <x v="1"/>
  </r>
  <r>
    <x v="28"/>
    <x v="22"/>
    <x v="0"/>
    <x v="4"/>
    <x v="26"/>
    <x v="10"/>
    <x v="28"/>
    <x v="0"/>
    <x v="0"/>
    <x v="0"/>
    <x v="26"/>
    <x v="5"/>
  </r>
  <r>
    <x v="29"/>
    <x v="7"/>
    <x v="0"/>
    <x v="3"/>
    <x v="27"/>
    <x v="6"/>
    <x v="29"/>
    <x v="0"/>
    <x v="2"/>
    <x v="0"/>
    <x v="27"/>
    <x v="2"/>
  </r>
  <r>
    <x v="30"/>
    <x v="23"/>
    <x v="1"/>
    <x v="2"/>
    <x v="28"/>
    <x v="11"/>
    <x v="30"/>
    <x v="1"/>
    <x v="0"/>
    <x v="0"/>
    <x v="28"/>
    <x v="3"/>
  </r>
  <r>
    <x v="31"/>
    <x v="24"/>
    <x v="0"/>
    <x v="0"/>
    <x v="29"/>
    <x v="6"/>
    <x v="31"/>
    <x v="2"/>
    <x v="1"/>
    <x v="0"/>
    <x v="12"/>
    <x v="2"/>
  </r>
  <r>
    <x v="32"/>
    <x v="8"/>
    <x v="0"/>
    <x v="2"/>
    <x v="25"/>
    <x v="6"/>
    <x v="32"/>
    <x v="1"/>
    <x v="2"/>
    <x v="0"/>
    <x v="29"/>
    <x v="1"/>
  </r>
  <r>
    <x v="33"/>
    <x v="17"/>
    <x v="1"/>
    <x v="3"/>
    <x v="30"/>
    <x v="6"/>
    <x v="33"/>
    <x v="1"/>
    <x v="1"/>
    <x v="1"/>
    <x v="30"/>
    <x v="1"/>
  </r>
  <r>
    <x v="34"/>
    <x v="6"/>
    <x v="0"/>
    <x v="0"/>
    <x v="31"/>
    <x v="7"/>
    <x v="34"/>
    <x v="0"/>
    <x v="3"/>
    <x v="0"/>
    <x v="31"/>
    <x v="3"/>
  </r>
  <r>
    <x v="35"/>
    <x v="19"/>
    <x v="1"/>
    <x v="3"/>
    <x v="2"/>
    <x v="7"/>
    <x v="35"/>
    <x v="0"/>
    <x v="3"/>
    <x v="0"/>
    <x v="32"/>
    <x v="0"/>
  </r>
  <r>
    <x v="36"/>
    <x v="25"/>
    <x v="1"/>
    <x v="1"/>
    <x v="32"/>
    <x v="10"/>
    <x v="36"/>
    <x v="3"/>
    <x v="3"/>
    <x v="0"/>
    <x v="33"/>
    <x v="2"/>
  </r>
  <r>
    <x v="37"/>
    <x v="26"/>
    <x v="0"/>
    <x v="0"/>
    <x v="33"/>
    <x v="1"/>
    <x v="37"/>
    <x v="3"/>
    <x v="3"/>
    <x v="0"/>
    <x v="34"/>
    <x v="0"/>
  </r>
  <r>
    <x v="38"/>
    <x v="27"/>
    <x v="1"/>
    <x v="1"/>
    <x v="34"/>
    <x v="6"/>
    <x v="38"/>
    <x v="1"/>
    <x v="1"/>
    <x v="0"/>
    <x v="35"/>
    <x v="0"/>
  </r>
  <r>
    <x v="39"/>
    <x v="28"/>
    <x v="1"/>
    <x v="2"/>
    <x v="27"/>
    <x v="13"/>
    <x v="39"/>
    <x v="2"/>
    <x v="2"/>
    <x v="0"/>
    <x v="36"/>
    <x v="2"/>
  </r>
  <r>
    <x v="40"/>
    <x v="29"/>
    <x v="1"/>
    <x v="2"/>
    <x v="14"/>
    <x v="8"/>
    <x v="40"/>
    <x v="0"/>
    <x v="2"/>
    <x v="0"/>
    <x v="37"/>
    <x v="2"/>
  </r>
  <r>
    <x v="41"/>
    <x v="30"/>
    <x v="1"/>
    <x v="0"/>
    <x v="35"/>
    <x v="13"/>
    <x v="41"/>
    <x v="0"/>
    <x v="0"/>
    <x v="0"/>
    <x v="38"/>
    <x v="0"/>
  </r>
  <r>
    <x v="42"/>
    <x v="22"/>
    <x v="0"/>
    <x v="0"/>
    <x v="36"/>
    <x v="1"/>
    <x v="42"/>
    <x v="1"/>
    <x v="1"/>
    <x v="0"/>
    <x v="2"/>
    <x v="0"/>
  </r>
  <r>
    <x v="43"/>
    <x v="31"/>
    <x v="1"/>
    <x v="3"/>
    <x v="32"/>
    <x v="10"/>
    <x v="43"/>
    <x v="3"/>
    <x v="3"/>
    <x v="0"/>
    <x v="33"/>
    <x v="2"/>
  </r>
  <r>
    <x v="44"/>
    <x v="3"/>
    <x v="0"/>
    <x v="3"/>
    <x v="37"/>
    <x v="9"/>
    <x v="44"/>
    <x v="2"/>
    <x v="1"/>
    <x v="0"/>
    <x v="39"/>
    <x v="4"/>
  </r>
  <r>
    <x v="45"/>
    <x v="32"/>
    <x v="1"/>
    <x v="1"/>
    <x v="38"/>
    <x v="9"/>
    <x v="45"/>
    <x v="3"/>
    <x v="0"/>
    <x v="0"/>
    <x v="40"/>
    <x v="4"/>
  </r>
  <r>
    <x v="46"/>
    <x v="32"/>
    <x v="1"/>
    <x v="0"/>
    <x v="39"/>
    <x v="14"/>
    <x v="46"/>
    <x v="3"/>
    <x v="0"/>
    <x v="0"/>
    <x v="33"/>
    <x v="2"/>
  </r>
  <r>
    <x v="47"/>
    <x v="33"/>
    <x v="1"/>
    <x v="2"/>
    <x v="40"/>
    <x v="13"/>
    <x v="47"/>
    <x v="3"/>
    <x v="1"/>
    <x v="0"/>
    <x v="8"/>
    <x v="4"/>
  </r>
  <r>
    <x v="48"/>
    <x v="32"/>
    <x v="1"/>
    <x v="3"/>
    <x v="1"/>
    <x v="1"/>
    <x v="48"/>
    <x v="3"/>
    <x v="1"/>
    <x v="0"/>
    <x v="1"/>
    <x v="1"/>
  </r>
  <r>
    <x v="49"/>
    <x v="34"/>
    <x v="0"/>
    <x v="3"/>
    <x v="41"/>
    <x v="1"/>
    <x v="49"/>
    <x v="0"/>
    <x v="1"/>
    <x v="0"/>
    <x v="41"/>
    <x v="0"/>
  </r>
  <r>
    <x v="50"/>
    <x v="19"/>
    <x v="0"/>
    <x v="2"/>
    <x v="26"/>
    <x v="0"/>
    <x v="50"/>
    <x v="0"/>
    <x v="2"/>
    <x v="0"/>
    <x v="42"/>
    <x v="5"/>
  </r>
  <r>
    <x v="51"/>
    <x v="35"/>
    <x v="1"/>
    <x v="3"/>
    <x v="42"/>
    <x v="4"/>
    <x v="51"/>
    <x v="3"/>
    <x v="3"/>
    <x v="0"/>
    <x v="43"/>
    <x v="2"/>
  </r>
  <r>
    <x v="52"/>
    <x v="1"/>
    <x v="1"/>
    <x v="1"/>
    <x v="43"/>
    <x v="12"/>
    <x v="52"/>
    <x v="2"/>
    <x v="1"/>
    <x v="0"/>
    <x v="44"/>
    <x v="1"/>
  </r>
  <r>
    <x v="53"/>
    <x v="36"/>
    <x v="0"/>
    <x v="0"/>
    <x v="44"/>
    <x v="0"/>
    <x v="53"/>
    <x v="1"/>
    <x v="1"/>
    <x v="0"/>
    <x v="45"/>
    <x v="1"/>
  </r>
  <r>
    <x v="54"/>
    <x v="16"/>
    <x v="1"/>
    <x v="2"/>
    <x v="45"/>
    <x v="11"/>
    <x v="54"/>
    <x v="2"/>
    <x v="1"/>
    <x v="0"/>
    <x v="46"/>
    <x v="4"/>
  </r>
  <r>
    <x v="55"/>
    <x v="37"/>
    <x v="1"/>
    <x v="0"/>
    <x v="46"/>
    <x v="7"/>
    <x v="55"/>
    <x v="2"/>
    <x v="0"/>
    <x v="0"/>
    <x v="47"/>
    <x v="0"/>
  </r>
  <r>
    <x v="56"/>
    <x v="34"/>
    <x v="1"/>
    <x v="3"/>
    <x v="47"/>
    <x v="7"/>
    <x v="56"/>
    <x v="2"/>
    <x v="0"/>
    <x v="0"/>
    <x v="48"/>
    <x v="0"/>
  </r>
  <r>
    <x v="57"/>
    <x v="38"/>
    <x v="0"/>
    <x v="3"/>
    <x v="48"/>
    <x v="4"/>
    <x v="57"/>
    <x v="3"/>
    <x v="2"/>
    <x v="0"/>
    <x v="49"/>
    <x v="1"/>
  </r>
  <r>
    <x v="58"/>
    <x v="7"/>
    <x v="0"/>
    <x v="2"/>
    <x v="49"/>
    <x v="2"/>
    <x v="58"/>
    <x v="0"/>
    <x v="3"/>
    <x v="1"/>
    <x v="50"/>
    <x v="3"/>
  </r>
  <r>
    <x v="59"/>
    <x v="39"/>
    <x v="0"/>
    <x v="1"/>
    <x v="50"/>
    <x v="2"/>
    <x v="59"/>
    <x v="2"/>
    <x v="2"/>
    <x v="0"/>
    <x v="51"/>
    <x v="4"/>
  </r>
  <r>
    <x v="60"/>
    <x v="0"/>
    <x v="1"/>
    <x v="4"/>
    <x v="51"/>
    <x v="10"/>
    <x v="60"/>
    <x v="3"/>
    <x v="3"/>
    <x v="1"/>
    <x v="37"/>
    <x v="2"/>
  </r>
  <r>
    <x v="61"/>
    <x v="40"/>
    <x v="1"/>
    <x v="2"/>
    <x v="52"/>
    <x v="5"/>
    <x v="61"/>
    <x v="2"/>
    <x v="0"/>
    <x v="0"/>
    <x v="45"/>
    <x v="1"/>
  </r>
  <r>
    <x v="62"/>
    <x v="41"/>
    <x v="0"/>
    <x v="4"/>
    <x v="53"/>
    <x v="4"/>
    <x v="62"/>
    <x v="2"/>
    <x v="0"/>
    <x v="0"/>
    <x v="52"/>
    <x v="2"/>
  </r>
  <r>
    <x v="63"/>
    <x v="25"/>
    <x v="0"/>
    <x v="4"/>
    <x v="54"/>
    <x v="12"/>
    <x v="63"/>
    <x v="3"/>
    <x v="0"/>
    <x v="0"/>
    <x v="53"/>
    <x v="4"/>
  </r>
  <r>
    <x v="64"/>
    <x v="22"/>
    <x v="0"/>
    <x v="1"/>
    <x v="27"/>
    <x v="1"/>
    <x v="64"/>
    <x v="0"/>
    <x v="2"/>
    <x v="0"/>
    <x v="8"/>
    <x v="2"/>
  </r>
  <r>
    <x v="65"/>
    <x v="42"/>
    <x v="0"/>
    <x v="4"/>
    <x v="43"/>
    <x v="2"/>
    <x v="65"/>
    <x v="0"/>
    <x v="1"/>
    <x v="0"/>
    <x v="54"/>
    <x v="1"/>
  </r>
  <r>
    <x v="66"/>
    <x v="43"/>
    <x v="1"/>
    <x v="4"/>
    <x v="55"/>
    <x v="12"/>
    <x v="66"/>
    <x v="1"/>
    <x v="1"/>
    <x v="0"/>
    <x v="0"/>
    <x v="0"/>
  </r>
  <r>
    <x v="67"/>
    <x v="8"/>
    <x v="0"/>
    <x v="1"/>
    <x v="56"/>
    <x v="6"/>
    <x v="67"/>
    <x v="3"/>
    <x v="0"/>
    <x v="0"/>
    <x v="42"/>
    <x v="5"/>
  </r>
  <r>
    <x v="68"/>
    <x v="39"/>
    <x v="1"/>
    <x v="4"/>
    <x v="57"/>
    <x v="13"/>
    <x v="68"/>
    <x v="1"/>
    <x v="1"/>
    <x v="0"/>
    <x v="16"/>
    <x v="1"/>
  </r>
  <r>
    <x v="69"/>
    <x v="44"/>
    <x v="0"/>
    <x v="4"/>
    <x v="58"/>
    <x v="13"/>
    <x v="69"/>
    <x v="1"/>
    <x v="1"/>
    <x v="0"/>
    <x v="17"/>
    <x v="3"/>
  </r>
  <r>
    <x v="70"/>
    <x v="13"/>
    <x v="1"/>
    <x v="4"/>
    <x v="30"/>
    <x v="5"/>
    <x v="70"/>
    <x v="1"/>
    <x v="2"/>
    <x v="0"/>
    <x v="20"/>
    <x v="1"/>
  </r>
  <r>
    <x v="71"/>
    <x v="18"/>
    <x v="0"/>
    <x v="2"/>
    <x v="52"/>
    <x v="8"/>
    <x v="71"/>
    <x v="0"/>
    <x v="3"/>
    <x v="0"/>
    <x v="55"/>
    <x v="1"/>
  </r>
  <r>
    <x v="72"/>
    <x v="45"/>
    <x v="0"/>
    <x v="2"/>
    <x v="59"/>
    <x v="1"/>
    <x v="72"/>
    <x v="3"/>
    <x v="0"/>
    <x v="0"/>
    <x v="50"/>
    <x v="3"/>
  </r>
  <r>
    <x v="73"/>
    <x v="30"/>
    <x v="0"/>
    <x v="2"/>
    <x v="60"/>
    <x v="11"/>
    <x v="73"/>
    <x v="1"/>
    <x v="0"/>
    <x v="1"/>
    <x v="6"/>
    <x v="3"/>
  </r>
  <r>
    <x v="74"/>
    <x v="33"/>
    <x v="0"/>
    <x v="1"/>
    <x v="61"/>
    <x v="6"/>
    <x v="74"/>
    <x v="3"/>
    <x v="2"/>
    <x v="1"/>
    <x v="37"/>
    <x v="2"/>
  </r>
  <r>
    <x v="75"/>
    <x v="22"/>
    <x v="1"/>
    <x v="3"/>
    <x v="62"/>
    <x v="6"/>
    <x v="75"/>
    <x v="3"/>
    <x v="2"/>
    <x v="0"/>
    <x v="31"/>
    <x v="3"/>
  </r>
  <r>
    <x v="76"/>
    <x v="38"/>
    <x v="0"/>
    <x v="4"/>
    <x v="63"/>
    <x v="13"/>
    <x v="76"/>
    <x v="0"/>
    <x v="1"/>
    <x v="0"/>
    <x v="56"/>
    <x v="5"/>
  </r>
  <r>
    <x v="77"/>
    <x v="19"/>
    <x v="1"/>
    <x v="4"/>
    <x v="64"/>
    <x v="4"/>
    <x v="77"/>
    <x v="1"/>
    <x v="0"/>
    <x v="1"/>
    <x v="57"/>
    <x v="1"/>
  </r>
  <r>
    <x v="78"/>
    <x v="6"/>
    <x v="1"/>
    <x v="1"/>
    <x v="65"/>
    <x v="5"/>
    <x v="78"/>
    <x v="1"/>
    <x v="3"/>
    <x v="0"/>
    <x v="58"/>
    <x v="1"/>
  </r>
  <r>
    <x v="79"/>
    <x v="5"/>
    <x v="1"/>
    <x v="4"/>
    <x v="66"/>
    <x v="10"/>
    <x v="79"/>
    <x v="3"/>
    <x v="2"/>
    <x v="0"/>
    <x v="59"/>
    <x v="1"/>
  </r>
  <r>
    <x v="80"/>
    <x v="33"/>
    <x v="1"/>
    <x v="2"/>
    <x v="67"/>
    <x v="11"/>
    <x v="80"/>
    <x v="2"/>
    <x v="3"/>
    <x v="1"/>
    <x v="22"/>
    <x v="5"/>
  </r>
  <r>
    <x v="81"/>
    <x v="46"/>
    <x v="0"/>
    <x v="3"/>
    <x v="18"/>
    <x v="2"/>
    <x v="81"/>
    <x v="0"/>
    <x v="3"/>
    <x v="0"/>
    <x v="53"/>
    <x v="4"/>
  </r>
  <r>
    <x v="82"/>
    <x v="42"/>
    <x v="1"/>
    <x v="0"/>
    <x v="68"/>
    <x v="12"/>
    <x v="82"/>
    <x v="0"/>
    <x v="0"/>
    <x v="0"/>
    <x v="25"/>
    <x v="1"/>
  </r>
  <r>
    <x v="83"/>
    <x v="47"/>
    <x v="1"/>
    <x v="4"/>
    <x v="45"/>
    <x v="4"/>
    <x v="83"/>
    <x v="0"/>
    <x v="0"/>
    <x v="0"/>
    <x v="60"/>
    <x v="4"/>
  </r>
  <r>
    <x v="84"/>
    <x v="14"/>
    <x v="1"/>
    <x v="2"/>
    <x v="46"/>
    <x v="2"/>
    <x v="84"/>
    <x v="0"/>
    <x v="2"/>
    <x v="1"/>
    <x v="61"/>
    <x v="0"/>
  </r>
  <r>
    <x v="85"/>
    <x v="43"/>
    <x v="0"/>
    <x v="0"/>
    <x v="69"/>
    <x v="4"/>
    <x v="85"/>
    <x v="1"/>
    <x v="0"/>
    <x v="1"/>
    <x v="19"/>
    <x v="4"/>
  </r>
  <r>
    <x v="86"/>
    <x v="15"/>
    <x v="0"/>
    <x v="3"/>
    <x v="70"/>
    <x v="4"/>
    <x v="86"/>
    <x v="1"/>
    <x v="0"/>
    <x v="1"/>
    <x v="62"/>
    <x v="1"/>
  </r>
  <r>
    <x v="87"/>
    <x v="41"/>
    <x v="0"/>
    <x v="0"/>
    <x v="71"/>
    <x v="4"/>
    <x v="87"/>
    <x v="2"/>
    <x v="0"/>
    <x v="0"/>
    <x v="63"/>
    <x v="0"/>
  </r>
  <r>
    <x v="88"/>
    <x v="18"/>
    <x v="0"/>
    <x v="2"/>
    <x v="72"/>
    <x v="13"/>
    <x v="88"/>
    <x v="0"/>
    <x v="3"/>
    <x v="0"/>
    <x v="64"/>
    <x v="5"/>
  </r>
  <r>
    <x v="89"/>
    <x v="32"/>
    <x v="1"/>
    <x v="0"/>
    <x v="1"/>
    <x v="5"/>
    <x v="89"/>
    <x v="0"/>
    <x v="2"/>
    <x v="0"/>
    <x v="44"/>
    <x v="1"/>
  </r>
  <r>
    <x v="90"/>
    <x v="48"/>
    <x v="1"/>
    <x v="1"/>
    <x v="73"/>
    <x v="10"/>
    <x v="90"/>
    <x v="3"/>
    <x v="1"/>
    <x v="0"/>
    <x v="65"/>
    <x v="5"/>
  </r>
  <r>
    <x v="91"/>
    <x v="49"/>
    <x v="0"/>
    <x v="0"/>
    <x v="74"/>
    <x v="4"/>
    <x v="91"/>
    <x v="1"/>
    <x v="3"/>
    <x v="0"/>
    <x v="66"/>
    <x v="5"/>
  </r>
  <r>
    <x v="92"/>
    <x v="29"/>
    <x v="1"/>
    <x v="4"/>
    <x v="75"/>
    <x v="14"/>
    <x v="92"/>
    <x v="0"/>
    <x v="0"/>
    <x v="0"/>
    <x v="67"/>
    <x v="1"/>
  </r>
  <r>
    <x v="93"/>
    <x v="41"/>
    <x v="1"/>
    <x v="4"/>
    <x v="76"/>
    <x v="8"/>
    <x v="93"/>
    <x v="2"/>
    <x v="3"/>
    <x v="0"/>
    <x v="68"/>
    <x v="5"/>
  </r>
  <r>
    <x v="94"/>
    <x v="49"/>
    <x v="1"/>
    <x v="1"/>
    <x v="77"/>
    <x v="2"/>
    <x v="94"/>
    <x v="2"/>
    <x v="0"/>
    <x v="0"/>
    <x v="23"/>
    <x v="0"/>
  </r>
  <r>
    <x v="95"/>
    <x v="2"/>
    <x v="0"/>
    <x v="2"/>
    <x v="65"/>
    <x v="1"/>
    <x v="95"/>
    <x v="1"/>
    <x v="0"/>
    <x v="0"/>
    <x v="69"/>
    <x v="1"/>
  </r>
  <r>
    <x v="96"/>
    <x v="40"/>
    <x v="0"/>
    <x v="4"/>
    <x v="78"/>
    <x v="0"/>
    <x v="96"/>
    <x v="2"/>
    <x v="3"/>
    <x v="0"/>
    <x v="70"/>
    <x v="0"/>
  </r>
  <r>
    <x v="97"/>
    <x v="44"/>
    <x v="1"/>
    <x v="3"/>
    <x v="0"/>
    <x v="12"/>
    <x v="97"/>
    <x v="2"/>
    <x v="2"/>
    <x v="0"/>
    <x v="71"/>
    <x v="0"/>
  </r>
  <r>
    <x v="98"/>
    <x v="19"/>
    <x v="0"/>
    <x v="4"/>
    <x v="79"/>
    <x v="13"/>
    <x v="98"/>
    <x v="1"/>
    <x v="0"/>
    <x v="0"/>
    <x v="72"/>
    <x v="5"/>
  </r>
  <r>
    <x v="99"/>
    <x v="50"/>
    <x v="0"/>
    <x v="4"/>
    <x v="80"/>
    <x v="11"/>
    <x v="99"/>
    <x v="0"/>
    <x v="2"/>
    <x v="0"/>
    <x v="73"/>
    <x v="5"/>
  </r>
  <r>
    <x v="100"/>
    <x v="51"/>
    <x v="0"/>
    <x v="2"/>
    <x v="50"/>
    <x v="7"/>
    <x v="100"/>
    <x v="0"/>
    <x v="1"/>
    <x v="0"/>
    <x v="74"/>
    <x v="4"/>
  </r>
  <r>
    <x v="101"/>
    <x v="32"/>
    <x v="0"/>
    <x v="0"/>
    <x v="81"/>
    <x v="10"/>
    <x v="101"/>
    <x v="2"/>
    <x v="0"/>
    <x v="0"/>
    <x v="75"/>
    <x v="1"/>
  </r>
  <r>
    <x v="102"/>
    <x v="14"/>
    <x v="0"/>
    <x v="4"/>
    <x v="61"/>
    <x v="1"/>
    <x v="102"/>
    <x v="2"/>
    <x v="2"/>
    <x v="0"/>
    <x v="76"/>
    <x v="2"/>
  </r>
  <r>
    <x v="103"/>
    <x v="42"/>
    <x v="1"/>
    <x v="1"/>
    <x v="82"/>
    <x v="6"/>
    <x v="103"/>
    <x v="0"/>
    <x v="2"/>
    <x v="0"/>
    <x v="77"/>
    <x v="4"/>
  </r>
  <r>
    <x v="104"/>
    <x v="52"/>
    <x v="0"/>
    <x v="0"/>
    <x v="40"/>
    <x v="9"/>
    <x v="104"/>
    <x v="1"/>
    <x v="1"/>
    <x v="0"/>
    <x v="10"/>
    <x v="4"/>
  </r>
  <r>
    <x v="105"/>
    <x v="53"/>
    <x v="1"/>
    <x v="3"/>
    <x v="70"/>
    <x v="14"/>
    <x v="105"/>
    <x v="2"/>
    <x v="2"/>
    <x v="0"/>
    <x v="78"/>
    <x v="1"/>
  </r>
  <r>
    <x v="106"/>
    <x v="3"/>
    <x v="1"/>
    <x v="2"/>
    <x v="83"/>
    <x v="7"/>
    <x v="106"/>
    <x v="3"/>
    <x v="2"/>
    <x v="0"/>
    <x v="53"/>
    <x v="4"/>
  </r>
  <r>
    <x v="107"/>
    <x v="5"/>
    <x v="0"/>
    <x v="3"/>
    <x v="84"/>
    <x v="0"/>
    <x v="107"/>
    <x v="1"/>
    <x v="1"/>
    <x v="0"/>
    <x v="79"/>
    <x v="3"/>
  </r>
  <r>
    <x v="108"/>
    <x v="42"/>
    <x v="1"/>
    <x v="0"/>
    <x v="85"/>
    <x v="1"/>
    <x v="108"/>
    <x v="2"/>
    <x v="0"/>
    <x v="0"/>
    <x v="58"/>
    <x v="1"/>
  </r>
  <r>
    <x v="109"/>
    <x v="10"/>
    <x v="1"/>
    <x v="0"/>
    <x v="28"/>
    <x v="7"/>
    <x v="109"/>
    <x v="2"/>
    <x v="2"/>
    <x v="0"/>
    <x v="6"/>
    <x v="3"/>
  </r>
  <r>
    <x v="110"/>
    <x v="22"/>
    <x v="1"/>
    <x v="0"/>
    <x v="86"/>
    <x v="1"/>
    <x v="110"/>
    <x v="3"/>
    <x v="2"/>
    <x v="0"/>
    <x v="80"/>
    <x v="4"/>
  </r>
  <r>
    <x v="111"/>
    <x v="36"/>
    <x v="0"/>
    <x v="3"/>
    <x v="87"/>
    <x v="12"/>
    <x v="111"/>
    <x v="3"/>
    <x v="2"/>
    <x v="0"/>
    <x v="65"/>
    <x v="5"/>
  </r>
  <r>
    <x v="112"/>
    <x v="32"/>
    <x v="0"/>
    <x v="0"/>
    <x v="41"/>
    <x v="14"/>
    <x v="112"/>
    <x v="0"/>
    <x v="3"/>
    <x v="0"/>
    <x v="81"/>
    <x v="0"/>
  </r>
  <r>
    <x v="113"/>
    <x v="15"/>
    <x v="1"/>
    <x v="3"/>
    <x v="88"/>
    <x v="0"/>
    <x v="113"/>
    <x v="1"/>
    <x v="1"/>
    <x v="0"/>
    <x v="33"/>
    <x v="2"/>
  </r>
  <r>
    <x v="114"/>
    <x v="7"/>
    <x v="0"/>
    <x v="0"/>
    <x v="63"/>
    <x v="6"/>
    <x v="114"/>
    <x v="1"/>
    <x v="3"/>
    <x v="1"/>
    <x v="66"/>
    <x v="5"/>
  </r>
  <r>
    <x v="115"/>
    <x v="31"/>
    <x v="0"/>
    <x v="1"/>
    <x v="89"/>
    <x v="4"/>
    <x v="115"/>
    <x v="0"/>
    <x v="1"/>
    <x v="0"/>
    <x v="74"/>
    <x v="4"/>
  </r>
  <r>
    <x v="116"/>
    <x v="54"/>
    <x v="0"/>
    <x v="0"/>
    <x v="8"/>
    <x v="2"/>
    <x v="116"/>
    <x v="1"/>
    <x v="0"/>
    <x v="1"/>
    <x v="3"/>
    <x v="4"/>
  </r>
  <r>
    <x v="117"/>
    <x v="40"/>
    <x v="0"/>
    <x v="3"/>
    <x v="41"/>
    <x v="6"/>
    <x v="117"/>
    <x v="1"/>
    <x v="0"/>
    <x v="0"/>
    <x v="82"/>
    <x v="0"/>
  </r>
  <r>
    <x v="118"/>
    <x v="33"/>
    <x v="1"/>
    <x v="4"/>
    <x v="60"/>
    <x v="4"/>
    <x v="118"/>
    <x v="1"/>
    <x v="2"/>
    <x v="0"/>
    <x v="71"/>
    <x v="3"/>
  </r>
  <r>
    <x v="119"/>
    <x v="13"/>
    <x v="1"/>
    <x v="0"/>
    <x v="90"/>
    <x v="9"/>
    <x v="119"/>
    <x v="1"/>
    <x v="1"/>
    <x v="0"/>
    <x v="75"/>
    <x v="1"/>
  </r>
  <r>
    <x v="120"/>
    <x v="12"/>
    <x v="0"/>
    <x v="4"/>
    <x v="91"/>
    <x v="13"/>
    <x v="120"/>
    <x v="1"/>
    <x v="0"/>
    <x v="0"/>
    <x v="68"/>
    <x v="5"/>
  </r>
  <r>
    <x v="121"/>
    <x v="44"/>
    <x v="0"/>
    <x v="1"/>
    <x v="1"/>
    <x v="5"/>
    <x v="121"/>
    <x v="3"/>
    <x v="1"/>
    <x v="0"/>
    <x v="44"/>
    <x v="1"/>
  </r>
  <r>
    <x v="122"/>
    <x v="25"/>
    <x v="1"/>
    <x v="2"/>
    <x v="90"/>
    <x v="5"/>
    <x v="122"/>
    <x v="1"/>
    <x v="0"/>
    <x v="0"/>
    <x v="16"/>
    <x v="1"/>
  </r>
  <r>
    <x v="123"/>
    <x v="22"/>
    <x v="1"/>
    <x v="1"/>
    <x v="16"/>
    <x v="5"/>
    <x v="123"/>
    <x v="3"/>
    <x v="3"/>
    <x v="1"/>
    <x v="83"/>
    <x v="3"/>
  </r>
  <r>
    <x v="124"/>
    <x v="22"/>
    <x v="0"/>
    <x v="0"/>
    <x v="92"/>
    <x v="10"/>
    <x v="124"/>
    <x v="1"/>
    <x v="0"/>
    <x v="0"/>
    <x v="84"/>
    <x v="1"/>
  </r>
  <r>
    <x v="125"/>
    <x v="22"/>
    <x v="1"/>
    <x v="4"/>
    <x v="93"/>
    <x v="8"/>
    <x v="125"/>
    <x v="0"/>
    <x v="3"/>
    <x v="0"/>
    <x v="77"/>
    <x v="4"/>
  </r>
  <r>
    <x v="126"/>
    <x v="54"/>
    <x v="0"/>
    <x v="4"/>
    <x v="94"/>
    <x v="11"/>
    <x v="126"/>
    <x v="2"/>
    <x v="0"/>
    <x v="0"/>
    <x v="85"/>
    <x v="1"/>
  </r>
  <r>
    <x v="127"/>
    <x v="55"/>
    <x v="0"/>
    <x v="3"/>
    <x v="14"/>
    <x v="11"/>
    <x v="127"/>
    <x v="3"/>
    <x v="2"/>
    <x v="0"/>
    <x v="86"/>
    <x v="2"/>
  </r>
  <r>
    <x v="128"/>
    <x v="2"/>
    <x v="1"/>
    <x v="4"/>
    <x v="63"/>
    <x v="5"/>
    <x v="128"/>
    <x v="1"/>
    <x v="3"/>
    <x v="0"/>
    <x v="87"/>
    <x v="5"/>
  </r>
  <r>
    <x v="129"/>
    <x v="3"/>
    <x v="1"/>
    <x v="3"/>
    <x v="95"/>
    <x v="2"/>
    <x v="129"/>
    <x v="0"/>
    <x v="0"/>
    <x v="0"/>
    <x v="88"/>
    <x v="0"/>
  </r>
  <r>
    <x v="130"/>
    <x v="54"/>
    <x v="0"/>
    <x v="2"/>
    <x v="96"/>
    <x v="0"/>
    <x v="130"/>
    <x v="2"/>
    <x v="2"/>
    <x v="0"/>
    <x v="75"/>
    <x v="1"/>
  </r>
  <r>
    <x v="131"/>
    <x v="56"/>
    <x v="0"/>
    <x v="0"/>
    <x v="97"/>
    <x v="14"/>
    <x v="131"/>
    <x v="3"/>
    <x v="3"/>
    <x v="0"/>
    <x v="3"/>
    <x v="2"/>
  </r>
  <r>
    <x v="132"/>
    <x v="25"/>
    <x v="1"/>
    <x v="3"/>
    <x v="32"/>
    <x v="0"/>
    <x v="132"/>
    <x v="2"/>
    <x v="2"/>
    <x v="0"/>
    <x v="89"/>
    <x v="2"/>
  </r>
  <r>
    <x v="133"/>
    <x v="38"/>
    <x v="0"/>
    <x v="2"/>
    <x v="98"/>
    <x v="14"/>
    <x v="133"/>
    <x v="0"/>
    <x v="1"/>
    <x v="0"/>
    <x v="29"/>
    <x v="5"/>
  </r>
  <r>
    <x v="134"/>
    <x v="39"/>
    <x v="1"/>
    <x v="4"/>
    <x v="99"/>
    <x v="0"/>
    <x v="134"/>
    <x v="3"/>
    <x v="1"/>
    <x v="0"/>
    <x v="90"/>
    <x v="3"/>
  </r>
  <r>
    <x v="135"/>
    <x v="12"/>
    <x v="0"/>
    <x v="4"/>
    <x v="100"/>
    <x v="8"/>
    <x v="135"/>
    <x v="2"/>
    <x v="3"/>
    <x v="0"/>
    <x v="22"/>
    <x v="5"/>
  </r>
  <r>
    <x v="136"/>
    <x v="56"/>
    <x v="1"/>
    <x v="2"/>
    <x v="80"/>
    <x v="10"/>
    <x v="136"/>
    <x v="1"/>
    <x v="0"/>
    <x v="1"/>
    <x v="91"/>
    <x v="5"/>
  </r>
  <r>
    <x v="137"/>
    <x v="19"/>
    <x v="1"/>
    <x v="4"/>
    <x v="53"/>
    <x v="10"/>
    <x v="137"/>
    <x v="3"/>
    <x v="3"/>
    <x v="0"/>
    <x v="92"/>
    <x v="2"/>
  </r>
  <r>
    <x v="138"/>
    <x v="5"/>
    <x v="1"/>
    <x v="2"/>
    <x v="101"/>
    <x v="5"/>
    <x v="138"/>
    <x v="2"/>
    <x v="2"/>
    <x v="0"/>
    <x v="93"/>
    <x v="1"/>
  </r>
  <r>
    <x v="139"/>
    <x v="12"/>
    <x v="0"/>
    <x v="3"/>
    <x v="16"/>
    <x v="9"/>
    <x v="139"/>
    <x v="0"/>
    <x v="0"/>
    <x v="0"/>
    <x v="80"/>
    <x v="3"/>
  </r>
  <r>
    <x v="140"/>
    <x v="11"/>
    <x v="0"/>
    <x v="3"/>
    <x v="102"/>
    <x v="4"/>
    <x v="140"/>
    <x v="0"/>
    <x v="1"/>
    <x v="0"/>
    <x v="6"/>
    <x v="3"/>
  </r>
  <r>
    <x v="141"/>
    <x v="34"/>
    <x v="1"/>
    <x v="2"/>
    <x v="91"/>
    <x v="9"/>
    <x v="141"/>
    <x v="3"/>
    <x v="0"/>
    <x v="1"/>
    <x v="94"/>
    <x v="5"/>
  </r>
  <r>
    <x v="142"/>
    <x v="47"/>
    <x v="0"/>
    <x v="3"/>
    <x v="103"/>
    <x v="7"/>
    <x v="142"/>
    <x v="2"/>
    <x v="1"/>
    <x v="0"/>
    <x v="22"/>
    <x v="5"/>
  </r>
  <r>
    <x v="143"/>
    <x v="5"/>
    <x v="1"/>
    <x v="3"/>
    <x v="91"/>
    <x v="10"/>
    <x v="143"/>
    <x v="3"/>
    <x v="0"/>
    <x v="0"/>
    <x v="95"/>
    <x v="5"/>
  </r>
  <r>
    <x v="144"/>
    <x v="46"/>
    <x v="1"/>
    <x v="3"/>
    <x v="93"/>
    <x v="10"/>
    <x v="144"/>
    <x v="3"/>
    <x v="0"/>
    <x v="0"/>
    <x v="90"/>
    <x v="4"/>
  </r>
  <r>
    <x v="145"/>
    <x v="46"/>
    <x v="0"/>
    <x v="1"/>
    <x v="104"/>
    <x v="6"/>
    <x v="145"/>
    <x v="2"/>
    <x v="0"/>
    <x v="0"/>
    <x v="96"/>
    <x v="3"/>
  </r>
  <r>
    <x v="146"/>
    <x v="23"/>
    <x v="0"/>
    <x v="0"/>
    <x v="105"/>
    <x v="6"/>
    <x v="146"/>
    <x v="2"/>
    <x v="2"/>
    <x v="1"/>
    <x v="97"/>
    <x v="1"/>
  </r>
  <r>
    <x v="147"/>
    <x v="28"/>
    <x v="1"/>
    <x v="4"/>
    <x v="106"/>
    <x v="4"/>
    <x v="147"/>
    <x v="1"/>
    <x v="2"/>
    <x v="0"/>
    <x v="98"/>
    <x v="4"/>
  </r>
  <r>
    <x v="148"/>
    <x v="57"/>
    <x v="0"/>
    <x v="1"/>
    <x v="107"/>
    <x v="12"/>
    <x v="148"/>
    <x v="2"/>
    <x v="3"/>
    <x v="0"/>
    <x v="49"/>
    <x v="2"/>
  </r>
  <r>
    <x v="149"/>
    <x v="29"/>
    <x v="0"/>
    <x v="3"/>
    <x v="21"/>
    <x v="7"/>
    <x v="149"/>
    <x v="0"/>
    <x v="3"/>
    <x v="0"/>
    <x v="99"/>
    <x v="5"/>
  </r>
  <r>
    <x v="150"/>
    <x v="0"/>
    <x v="1"/>
    <x v="2"/>
    <x v="44"/>
    <x v="9"/>
    <x v="150"/>
    <x v="3"/>
    <x v="1"/>
    <x v="1"/>
    <x v="100"/>
    <x v="1"/>
  </r>
  <r>
    <x v="151"/>
    <x v="8"/>
    <x v="1"/>
    <x v="3"/>
    <x v="108"/>
    <x v="2"/>
    <x v="151"/>
    <x v="3"/>
    <x v="2"/>
    <x v="0"/>
    <x v="101"/>
    <x v="0"/>
  </r>
  <r>
    <x v="152"/>
    <x v="55"/>
    <x v="0"/>
    <x v="0"/>
    <x v="68"/>
    <x v="6"/>
    <x v="152"/>
    <x v="0"/>
    <x v="1"/>
    <x v="1"/>
    <x v="84"/>
    <x v="1"/>
  </r>
  <r>
    <x v="153"/>
    <x v="30"/>
    <x v="1"/>
    <x v="3"/>
    <x v="104"/>
    <x v="2"/>
    <x v="153"/>
    <x v="2"/>
    <x v="3"/>
    <x v="0"/>
    <x v="79"/>
    <x v="3"/>
  </r>
  <r>
    <x v="154"/>
    <x v="38"/>
    <x v="1"/>
    <x v="2"/>
    <x v="109"/>
    <x v="1"/>
    <x v="154"/>
    <x v="0"/>
    <x v="1"/>
    <x v="0"/>
    <x v="102"/>
    <x v="3"/>
  </r>
  <r>
    <x v="155"/>
    <x v="39"/>
    <x v="0"/>
    <x v="0"/>
    <x v="110"/>
    <x v="6"/>
    <x v="155"/>
    <x v="0"/>
    <x v="3"/>
    <x v="0"/>
    <x v="47"/>
    <x v="0"/>
  </r>
  <r>
    <x v="156"/>
    <x v="5"/>
    <x v="1"/>
    <x v="3"/>
    <x v="111"/>
    <x v="8"/>
    <x v="156"/>
    <x v="1"/>
    <x v="2"/>
    <x v="0"/>
    <x v="44"/>
    <x v="1"/>
  </r>
  <r>
    <x v="157"/>
    <x v="24"/>
    <x v="1"/>
    <x v="0"/>
    <x v="87"/>
    <x v="12"/>
    <x v="157"/>
    <x v="0"/>
    <x v="0"/>
    <x v="0"/>
    <x v="65"/>
    <x v="5"/>
  </r>
  <r>
    <x v="158"/>
    <x v="50"/>
    <x v="0"/>
    <x v="4"/>
    <x v="95"/>
    <x v="7"/>
    <x v="158"/>
    <x v="3"/>
    <x v="2"/>
    <x v="0"/>
    <x v="103"/>
    <x v="0"/>
  </r>
  <r>
    <x v="159"/>
    <x v="23"/>
    <x v="0"/>
    <x v="4"/>
    <x v="53"/>
    <x v="13"/>
    <x v="159"/>
    <x v="0"/>
    <x v="1"/>
    <x v="0"/>
    <x v="5"/>
    <x v="2"/>
  </r>
  <r>
    <x v="160"/>
    <x v="53"/>
    <x v="1"/>
    <x v="3"/>
    <x v="112"/>
    <x v="4"/>
    <x v="160"/>
    <x v="3"/>
    <x v="1"/>
    <x v="0"/>
    <x v="104"/>
    <x v="3"/>
  </r>
  <r>
    <x v="161"/>
    <x v="35"/>
    <x v="1"/>
    <x v="0"/>
    <x v="107"/>
    <x v="1"/>
    <x v="161"/>
    <x v="3"/>
    <x v="2"/>
    <x v="0"/>
    <x v="52"/>
    <x v="2"/>
  </r>
  <r>
    <x v="162"/>
    <x v="10"/>
    <x v="0"/>
    <x v="2"/>
    <x v="113"/>
    <x v="13"/>
    <x v="162"/>
    <x v="3"/>
    <x v="2"/>
    <x v="0"/>
    <x v="9"/>
    <x v="0"/>
  </r>
  <r>
    <x v="163"/>
    <x v="32"/>
    <x v="0"/>
    <x v="3"/>
    <x v="52"/>
    <x v="7"/>
    <x v="163"/>
    <x v="2"/>
    <x v="3"/>
    <x v="1"/>
    <x v="97"/>
    <x v="1"/>
  </r>
  <r>
    <x v="164"/>
    <x v="12"/>
    <x v="0"/>
    <x v="4"/>
    <x v="2"/>
    <x v="9"/>
    <x v="164"/>
    <x v="1"/>
    <x v="1"/>
    <x v="0"/>
    <x v="105"/>
    <x v="0"/>
  </r>
  <r>
    <x v="165"/>
    <x v="37"/>
    <x v="0"/>
    <x v="4"/>
    <x v="69"/>
    <x v="5"/>
    <x v="165"/>
    <x v="3"/>
    <x v="1"/>
    <x v="1"/>
    <x v="106"/>
    <x v="4"/>
  </r>
  <r>
    <x v="166"/>
    <x v="46"/>
    <x v="1"/>
    <x v="3"/>
    <x v="114"/>
    <x v="8"/>
    <x v="166"/>
    <x v="3"/>
    <x v="2"/>
    <x v="1"/>
    <x v="105"/>
    <x v="0"/>
  </r>
  <r>
    <x v="167"/>
    <x v="19"/>
    <x v="0"/>
    <x v="0"/>
    <x v="115"/>
    <x v="7"/>
    <x v="167"/>
    <x v="2"/>
    <x v="0"/>
    <x v="0"/>
    <x v="86"/>
    <x v="2"/>
  </r>
  <r>
    <x v="168"/>
    <x v="15"/>
    <x v="0"/>
    <x v="4"/>
    <x v="25"/>
    <x v="8"/>
    <x v="168"/>
    <x v="3"/>
    <x v="1"/>
    <x v="0"/>
    <x v="107"/>
    <x v="1"/>
  </r>
  <r>
    <x v="169"/>
    <x v="17"/>
    <x v="1"/>
    <x v="0"/>
    <x v="116"/>
    <x v="8"/>
    <x v="169"/>
    <x v="0"/>
    <x v="0"/>
    <x v="0"/>
    <x v="11"/>
    <x v="5"/>
  </r>
  <r>
    <x v="170"/>
    <x v="27"/>
    <x v="0"/>
    <x v="4"/>
    <x v="53"/>
    <x v="2"/>
    <x v="170"/>
    <x v="0"/>
    <x v="2"/>
    <x v="0"/>
    <x v="69"/>
    <x v="2"/>
  </r>
  <r>
    <x v="171"/>
    <x v="46"/>
    <x v="1"/>
    <x v="4"/>
    <x v="9"/>
    <x v="0"/>
    <x v="171"/>
    <x v="1"/>
    <x v="2"/>
    <x v="0"/>
    <x v="108"/>
    <x v="0"/>
  </r>
  <r>
    <x v="172"/>
    <x v="56"/>
    <x v="0"/>
    <x v="1"/>
    <x v="65"/>
    <x v="13"/>
    <x v="172"/>
    <x v="3"/>
    <x v="3"/>
    <x v="0"/>
    <x v="59"/>
    <x v="1"/>
  </r>
  <r>
    <x v="173"/>
    <x v="46"/>
    <x v="0"/>
    <x v="4"/>
    <x v="97"/>
    <x v="5"/>
    <x v="173"/>
    <x v="2"/>
    <x v="1"/>
    <x v="0"/>
    <x v="109"/>
    <x v="2"/>
  </r>
  <r>
    <x v="174"/>
    <x v="37"/>
    <x v="0"/>
    <x v="2"/>
    <x v="21"/>
    <x v="9"/>
    <x v="174"/>
    <x v="0"/>
    <x v="0"/>
    <x v="0"/>
    <x v="110"/>
    <x v="5"/>
  </r>
  <r>
    <x v="175"/>
    <x v="33"/>
    <x v="1"/>
    <x v="3"/>
    <x v="8"/>
    <x v="1"/>
    <x v="175"/>
    <x v="2"/>
    <x v="3"/>
    <x v="0"/>
    <x v="111"/>
    <x v="4"/>
  </r>
  <r>
    <x v="176"/>
    <x v="42"/>
    <x v="1"/>
    <x v="3"/>
    <x v="81"/>
    <x v="7"/>
    <x v="176"/>
    <x v="2"/>
    <x v="1"/>
    <x v="0"/>
    <x v="54"/>
    <x v="1"/>
  </r>
  <r>
    <x v="177"/>
    <x v="16"/>
    <x v="0"/>
    <x v="0"/>
    <x v="117"/>
    <x v="14"/>
    <x v="177"/>
    <x v="0"/>
    <x v="3"/>
    <x v="0"/>
    <x v="90"/>
    <x v="3"/>
  </r>
  <r>
    <x v="178"/>
    <x v="56"/>
    <x v="1"/>
    <x v="4"/>
    <x v="76"/>
    <x v="1"/>
    <x v="178"/>
    <x v="2"/>
    <x v="2"/>
    <x v="0"/>
    <x v="72"/>
    <x v="5"/>
  </r>
  <r>
    <x v="179"/>
    <x v="57"/>
    <x v="1"/>
    <x v="2"/>
    <x v="47"/>
    <x v="0"/>
    <x v="179"/>
    <x v="0"/>
    <x v="1"/>
    <x v="0"/>
    <x v="112"/>
    <x v="0"/>
  </r>
  <r>
    <x v="180"/>
    <x v="44"/>
    <x v="1"/>
    <x v="0"/>
    <x v="24"/>
    <x v="1"/>
    <x v="180"/>
    <x v="2"/>
    <x v="3"/>
    <x v="0"/>
    <x v="43"/>
    <x v="2"/>
  </r>
  <r>
    <x v="181"/>
    <x v="35"/>
    <x v="1"/>
    <x v="1"/>
    <x v="118"/>
    <x v="10"/>
    <x v="181"/>
    <x v="0"/>
    <x v="3"/>
    <x v="0"/>
    <x v="38"/>
    <x v="3"/>
  </r>
  <r>
    <x v="182"/>
    <x v="42"/>
    <x v="1"/>
    <x v="0"/>
    <x v="119"/>
    <x v="9"/>
    <x v="182"/>
    <x v="3"/>
    <x v="0"/>
    <x v="0"/>
    <x v="113"/>
    <x v="5"/>
  </r>
  <r>
    <x v="183"/>
    <x v="0"/>
    <x v="1"/>
    <x v="0"/>
    <x v="70"/>
    <x v="14"/>
    <x v="183"/>
    <x v="1"/>
    <x v="3"/>
    <x v="1"/>
    <x v="78"/>
    <x v="1"/>
  </r>
  <r>
    <x v="184"/>
    <x v="27"/>
    <x v="0"/>
    <x v="4"/>
    <x v="100"/>
    <x v="0"/>
    <x v="184"/>
    <x v="0"/>
    <x v="1"/>
    <x v="0"/>
    <x v="91"/>
    <x v="5"/>
  </r>
  <r>
    <x v="185"/>
    <x v="39"/>
    <x v="0"/>
    <x v="1"/>
    <x v="19"/>
    <x v="2"/>
    <x v="185"/>
    <x v="0"/>
    <x v="1"/>
    <x v="0"/>
    <x v="13"/>
    <x v="5"/>
  </r>
  <r>
    <x v="186"/>
    <x v="3"/>
    <x v="1"/>
    <x v="0"/>
    <x v="1"/>
    <x v="13"/>
    <x v="186"/>
    <x v="1"/>
    <x v="0"/>
    <x v="0"/>
    <x v="45"/>
    <x v="1"/>
  </r>
  <r>
    <x v="187"/>
    <x v="3"/>
    <x v="0"/>
    <x v="2"/>
    <x v="4"/>
    <x v="7"/>
    <x v="187"/>
    <x v="0"/>
    <x v="1"/>
    <x v="0"/>
    <x v="104"/>
    <x v="3"/>
  </r>
  <r>
    <x v="188"/>
    <x v="44"/>
    <x v="0"/>
    <x v="2"/>
    <x v="6"/>
    <x v="12"/>
    <x v="188"/>
    <x v="0"/>
    <x v="2"/>
    <x v="0"/>
    <x v="31"/>
    <x v="3"/>
  </r>
  <r>
    <x v="189"/>
    <x v="29"/>
    <x v="0"/>
    <x v="3"/>
    <x v="101"/>
    <x v="11"/>
    <x v="189"/>
    <x v="2"/>
    <x v="1"/>
    <x v="0"/>
    <x v="67"/>
    <x v="1"/>
  </r>
  <r>
    <x v="190"/>
    <x v="22"/>
    <x v="0"/>
    <x v="1"/>
    <x v="120"/>
    <x v="13"/>
    <x v="190"/>
    <x v="1"/>
    <x v="1"/>
    <x v="0"/>
    <x v="3"/>
    <x v="4"/>
  </r>
  <r>
    <x v="191"/>
    <x v="58"/>
    <x v="1"/>
    <x v="1"/>
    <x v="13"/>
    <x v="0"/>
    <x v="191"/>
    <x v="3"/>
    <x v="3"/>
    <x v="0"/>
    <x v="69"/>
    <x v="2"/>
  </r>
  <r>
    <x v="192"/>
    <x v="34"/>
    <x v="0"/>
    <x v="3"/>
    <x v="104"/>
    <x v="4"/>
    <x v="192"/>
    <x v="0"/>
    <x v="3"/>
    <x v="0"/>
    <x v="114"/>
    <x v="3"/>
  </r>
  <r>
    <x v="193"/>
    <x v="59"/>
    <x v="0"/>
    <x v="0"/>
    <x v="98"/>
    <x v="9"/>
    <x v="193"/>
    <x v="1"/>
    <x v="1"/>
    <x v="0"/>
    <x v="115"/>
    <x v="5"/>
  </r>
  <r>
    <x v="194"/>
    <x v="0"/>
    <x v="1"/>
    <x v="1"/>
    <x v="121"/>
    <x v="7"/>
    <x v="194"/>
    <x v="2"/>
    <x v="0"/>
    <x v="0"/>
    <x v="41"/>
    <x v="0"/>
  </r>
  <r>
    <x v="195"/>
    <x v="26"/>
    <x v="1"/>
    <x v="2"/>
    <x v="99"/>
    <x v="13"/>
    <x v="195"/>
    <x v="3"/>
    <x v="3"/>
    <x v="0"/>
    <x v="77"/>
    <x v="3"/>
  </r>
  <r>
    <x v="196"/>
    <x v="1"/>
    <x v="0"/>
    <x v="2"/>
    <x v="35"/>
    <x v="5"/>
    <x v="196"/>
    <x v="1"/>
    <x v="0"/>
    <x v="0"/>
    <x v="71"/>
    <x v="0"/>
  </r>
  <r>
    <x v="197"/>
    <x v="6"/>
    <x v="0"/>
    <x v="4"/>
    <x v="61"/>
    <x v="0"/>
    <x v="197"/>
    <x v="3"/>
    <x v="1"/>
    <x v="0"/>
    <x v="18"/>
    <x v="2"/>
  </r>
  <r>
    <x v="198"/>
    <x v="59"/>
    <x v="0"/>
    <x v="1"/>
    <x v="78"/>
    <x v="10"/>
    <x v="198"/>
    <x v="3"/>
    <x v="1"/>
    <x v="0"/>
    <x v="116"/>
    <x v="0"/>
  </r>
  <r>
    <x v="199"/>
    <x v="41"/>
    <x v="0"/>
    <x v="0"/>
    <x v="122"/>
    <x v="11"/>
    <x v="199"/>
    <x v="3"/>
    <x v="2"/>
    <x v="0"/>
    <x v="11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E000000}" name="PivotTable22" cacheId="3" applyNumberFormats="0" applyBorderFormats="0" applyFontFormats="0" applyPatternFormats="0" applyAlignmentFormats="0" applyWidthHeightFormats="1" dataCaption="Values" updatedVersion="5" minRefreshableVersion="3" useAutoFormatting="1" colGrandTotals="0" createdVersion="5" indent="0" compact="0" outline="1" outlineData="1" compactData="0" multipleFieldFilters="0" chartFormat="4">
  <location ref="B29:C43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reatment_Cost" fld="6" baseField="0" baseItem="0"/>
  </dataFields>
  <formats count="14">
    <format dxfId="13">
      <pivotArea dataOnly="0" axis="axisValues" fieldPosition="0"/>
    </format>
    <format dxfId="12">
      <pivotArea collapsedLevelsAreSubtotals="1" fieldPosition="0"/>
    </format>
    <format dxfId="11">
      <pivotArea dataOnly="0" axis="axisValues" fieldPosition="0"/>
    </format>
    <format dxfId="10">
      <pivotArea collapsedLevelsAreSubtotals="1" fieldPosition="0"/>
    </format>
    <format dxfId="9">
      <pivotArea dataOnly="0" axis="axisValues" fieldPosition="0"/>
    </format>
    <format dxfId="8">
      <pivotArea collapsedLevelsAreSubtotals="1" fieldPosition="0"/>
    </format>
    <format dxfId="7">
      <pivotArea dataOnly="0" axis="axisValues" fieldPosition="0"/>
    </format>
    <format dxfId="6">
      <pivotArea collapsedLevelsAreSubtotals="1" fieldPosition="0"/>
    </format>
    <format dxfId="5">
      <pivotArea dataOnly="0" axis="axisValues" fieldPosition="0"/>
    </format>
    <format dxfId="4">
      <pivotArea collapsedLevelsAreSubtotals="1" fieldPosition="0"/>
    </format>
    <format dxfId="3">
      <pivotArea collapsedLevelsAreSubtotals="1" fieldPosition="0"/>
    </format>
    <format dxfId="2">
      <pivotArea collapsedLevelsAreSubtotals="1" fieldPosition="0"/>
    </format>
    <format dxfId="1">
      <pivotArea collapsedLevelsAreSubtotals="1" fieldPosition="0"/>
    </format>
    <format dxfId="0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1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M35:N44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axis="axisRow"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Sum of Treatment_Cost" fld="6" baseField="0" baseItem="0"/>
  </dataFields>
  <formats count="12">
    <format dxfId="25">
      <pivotArea dataOnly="0" axis="axisValues" fieldPosition="0"/>
    </format>
    <format dxfId="24">
      <pivotArea collapsedLevelsAreSubtotals="1" fieldPosition="0"/>
    </format>
    <format dxfId="23">
      <pivotArea dataOnly="0" axis="axisValues" fieldPosition="0"/>
    </format>
    <format dxfId="22">
      <pivotArea collapsedLevelsAreSubtotals="1" fieldPosition="0"/>
    </format>
    <format dxfId="21">
      <pivotArea dataOnly="0" axis="axisValues" fieldPosition="0"/>
    </format>
    <format dxfId="20">
      <pivotArea collapsedLevelsAreSubtotals="1" fieldPosition="0"/>
    </format>
    <format dxfId="19">
      <pivotArea dataOnly="0" axis="axisValues" fieldPosition="0"/>
    </format>
    <format dxfId="18">
      <pivotArea collapsedLevelsAreSubtotals="1" fieldPosition="0"/>
    </format>
    <format dxfId="17">
      <pivotArea dataOnly="0" axis="axisValues" fieldPosition="0"/>
    </format>
    <format dxfId="16">
      <pivotArea collapsedLevelsAreSubtotals="1" fieldPosition="0"/>
    </format>
    <format dxfId="15">
      <pivotArea collapsedLevelsAreSubtotals="1" fieldPosition="0"/>
    </format>
    <format dxfId="14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D000000}" name="PivotTable6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I19:I20" firstHeaderRow="1" firstDataRow="1" firstDataCol="0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dataField="1"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dataFields count="1">
    <dataField name="Average of Length_of_Stay" fld="5" subtotal="average" baseField="0" baseItem="0"/>
  </dataFields>
  <formats count="16">
    <format dxfId="41">
      <pivotArea dataOnly="0" axis="axisValues" fieldPosition="0"/>
    </format>
    <format dxfId="40">
      <pivotArea collapsedLevelsAreSubtotals="1" fieldPosition="0"/>
    </format>
    <format dxfId="39">
      <pivotArea dataOnly="0" axis="axisValues" fieldPosition="0"/>
    </format>
    <format dxfId="38">
      <pivotArea collapsedLevelsAreSubtotals="1" fieldPosition="0"/>
    </format>
    <format dxfId="37">
      <pivotArea dataOnly="0" axis="axisValues" fieldPosition="0"/>
    </format>
    <format dxfId="36">
      <pivotArea collapsedLevelsAreSubtotals="1" fieldPosition="0"/>
    </format>
    <format dxfId="35">
      <pivotArea dataOnly="0" axis="axisValues" fieldPosition="0"/>
    </format>
    <format dxfId="34">
      <pivotArea collapsedLevelsAreSubtotals="1" fieldPosition="0"/>
    </format>
    <format dxfId="33">
      <pivotArea dataOnly="0" axis="axisValues" fieldPosition="0"/>
    </format>
    <format dxfId="32">
      <pivotArea collapsedLevelsAreSubtotals="1" fieldPosition="0"/>
    </format>
    <format dxfId="31">
      <pivotArea collapsedLevelsAreSubtotals="1" fieldPosition="0"/>
    </format>
    <format dxfId="30">
      <pivotArea collapsedLevelsAreSubtotals="1" fieldPosition="0"/>
    </format>
    <format dxfId="29">
      <pivotArea collapsedLevelsAreSubtotals="1" fieldPosition="0"/>
    </format>
    <format dxfId="28">
      <pivotArea collapsedLevelsAreSubtotals="1" fieldPosition="0"/>
    </format>
    <format dxfId="27">
      <pivotArea collapsedLevelsAreSubtotals="1" fieldPosition="0"/>
    </format>
    <format dxfId="26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B000000}" name="PivotTable4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E37:F44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axis="axisRow" compact="0" multipleItemSelectionAllowe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6" baseField="0" baseItem="0"/>
  </dataFields>
  <formats count="18">
    <format dxfId="59">
      <pivotArea dataOnly="0" axis="axisValues" fieldPosition="0"/>
    </format>
    <format dxfId="58">
      <pivotArea collapsedLevelsAreSubtotals="1" fieldPosition="0"/>
    </format>
    <format dxfId="57">
      <pivotArea dataOnly="0" axis="axisValues" fieldPosition="0"/>
    </format>
    <format dxfId="56">
      <pivotArea collapsedLevelsAreSubtotals="1" fieldPosition="0"/>
    </format>
    <format dxfId="55">
      <pivotArea dataOnly="0" axis="axisValues" fieldPosition="0"/>
    </format>
    <format dxfId="54">
      <pivotArea collapsedLevelsAreSubtotals="1" fieldPosition="0"/>
    </format>
    <format dxfId="53">
      <pivotArea dataOnly="0" axis="axisValues" fieldPosition="0"/>
    </format>
    <format dxfId="52">
      <pivotArea collapsedLevelsAreSubtotals="1" fieldPosition="0"/>
    </format>
    <format dxfId="51">
      <pivotArea dataOnly="0" axis="axisValues" fieldPosition="0"/>
    </format>
    <format dxfId="50">
      <pivotArea collapsedLevelsAreSubtotals="1" fieldPosition="0"/>
    </format>
    <format dxfId="49">
      <pivotArea collapsedLevelsAreSubtotals="1" fieldPosition="0"/>
    </format>
    <format dxfId="48">
      <pivotArea collapsedLevelsAreSubtotals="1" fieldPosition="0"/>
    </format>
    <format dxfId="47">
      <pivotArea collapsedLevelsAreSubtotals="1" fieldPosition="0"/>
    </format>
    <format dxfId="46">
      <pivotArea collapsedLevelsAreSubtotals="1" fieldPosition="0"/>
    </format>
    <format dxfId="45">
      <pivotArea collapsedLevelsAreSubtotals="1" fieldPosition="0"/>
    </format>
    <format dxfId="44">
      <pivotArea collapsedLevelsAreSubtotals="1" fieldPosition="0"/>
    </format>
    <format dxfId="43">
      <pivotArea collapsedLevelsAreSubtotals="1" fieldPosition="0"/>
    </format>
    <format dxfId="42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1000000}" name="PivotTable25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47:E62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Col" dataField="1"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Outcome" fld="9" subtotal="count" baseField="0" baseItem="0"/>
  </dataFields>
  <formats count="10">
    <format dxfId="69">
      <pivotArea dataOnly="0" axis="axisValues" fieldPosition="0"/>
    </format>
    <format dxfId="68">
      <pivotArea collapsedLevelsAreSubtotals="1" fieldPosition="0"/>
    </format>
    <format dxfId="67">
      <pivotArea dataOnly="0" axis="axisValues" fieldPosition="0"/>
    </format>
    <format dxfId="66">
      <pivotArea collapsedLevelsAreSubtotals="1" fieldPosition="0"/>
    </format>
    <format dxfId="65">
      <pivotArea dataOnly="0" axis="axisValues" fieldPosition="0"/>
    </format>
    <format dxfId="64">
      <pivotArea collapsedLevelsAreSubtotals="1" fieldPosition="0"/>
    </format>
    <format dxfId="63">
      <pivotArea dataOnly="0" axis="axisValues" fieldPosition="0"/>
    </format>
    <format dxfId="62">
      <pivotArea collapsedLevelsAreSubtotals="1" fieldPosition="0"/>
    </format>
    <format dxfId="61">
      <pivotArea dataOnly="0" axis="axisValues" fieldPosition="0"/>
    </format>
    <format dxfId="60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7000000}" name="PivotTable30" cacheId="3" applyNumberFormats="0" applyBorderFormats="0" applyFontFormats="0" applyPatternFormats="0" applyAlignmentFormats="0" applyWidthHeightFormats="1" dataCaption="Values" updatedVersion="5" minRefreshableVersion="3" useAutoFormatting="1" rowGrandTotals="0" createdVersion="5" indent="0" compact="0" outline="1" outlineData="1" compactData="0" multipleFieldFilters="0">
  <location ref="I10:J12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dataField="1" compact="0" multipleItemSelectionAllowed="1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unt of Gender" fld="2" subtotal="count" baseField="0" baseItem="0"/>
  </dataFields>
  <formats count="10">
    <format dxfId="79">
      <pivotArea dataOnly="0" axis="axisValues" fieldPosition="0"/>
    </format>
    <format dxfId="78">
      <pivotArea collapsedLevelsAreSubtotals="1" fieldPosition="0"/>
    </format>
    <format dxfId="77">
      <pivotArea dataOnly="0" axis="axisValues" fieldPosition="0"/>
    </format>
    <format dxfId="76">
      <pivotArea collapsedLevelsAreSubtotals="1" fieldPosition="0"/>
    </format>
    <format dxfId="75">
      <pivotArea dataOnly="0" axis="axisValues" fieldPosition="0"/>
    </format>
    <format dxfId="74">
      <pivotArea collapsedLevelsAreSubtotals="1" fieldPosition="0"/>
    </format>
    <format dxfId="73">
      <pivotArea dataOnly="0" axis="axisValues" fieldPosition="0"/>
    </format>
    <format dxfId="72">
      <pivotArea collapsedLevelsAreSubtotals="1" fieldPosition="0"/>
    </format>
    <format dxfId="71">
      <pivotArea dataOnly="0" axis="axisValues" fieldPosition="0"/>
    </format>
    <format dxfId="70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2000000}" name="PivotTable26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I24:J27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Outcome" fld="9" subtotal="count" showDataAs="percentOfTotal" baseField="0" baseItem="0" numFmtId="10"/>
  </dataFields>
  <formats count="25">
    <format dxfId="104">
      <pivotArea dataOnly="0" axis="axisValues" fieldPosition="0"/>
    </format>
    <format dxfId="103">
      <pivotArea collapsedLevelsAreSubtotals="1" fieldPosition="0"/>
    </format>
    <format dxfId="102">
      <pivotArea dataOnly="0" axis="axisValues" fieldPosition="0"/>
    </format>
    <format dxfId="101">
      <pivotArea collapsedLevelsAreSubtotals="1" fieldPosition="0"/>
    </format>
    <format dxfId="100">
      <pivotArea dataOnly="0" axis="axisValues" fieldPosition="0"/>
    </format>
    <format dxfId="99">
      <pivotArea collapsedLevelsAreSubtotals="1" fieldPosition="0"/>
    </format>
    <format dxfId="98">
      <pivotArea dataOnly="0" axis="axisValues" fieldPosition="0"/>
    </format>
    <format dxfId="97">
      <pivotArea collapsedLevelsAreSubtotals="1" fieldPosition="0"/>
    </format>
    <format dxfId="96">
      <pivotArea dataOnly="0" axis="axisValues" fieldPosition="0"/>
    </format>
    <format dxfId="95">
      <pivotArea collapsedLevelsAreSubtotals="1" fieldPosition="0"/>
    </format>
    <format dxfId="94">
      <pivotArea collapsedLevelsAreSubtotals="1" fieldPosition="0"/>
    </format>
    <format dxfId="93">
      <pivotArea grandRow="1" collapsedLevelsAreSubtotals="1" fieldPosition="0"/>
    </format>
    <format dxfId="92">
      <pivotArea collapsedLevelsAreSubtotals="1" fieldPosition="0"/>
    </format>
    <format dxfId="91">
      <pivotArea collapsedLevelsAreSubtotals="1" fieldPosition="0"/>
    </format>
    <format dxfId="90">
      <pivotArea collapsedLevelsAreSubtotals="1" fieldPosition="0"/>
    </format>
    <format dxfId="89">
      <pivotArea collapsedLevelsAreSubtotals="1" fieldPosition="0"/>
    </format>
    <format dxfId="88">
      <pivotArea collapsedLevelsAreSubtotals="1" fieldPosition="0"/>
    </format>
    <format dxfId="87">
      <pivotArea collapsedLevelsAreSubtotals="1" fieldPosition="0"/>
    </format>
    <format dxfId="86">
      <pivotArea grandRow="1" collapsedLevelsAreSubtotals="1" fieldPosition="0"/>
    </format>
    <format dxfId="85">
      <pivotArea collapsedLevelsAreSubtotals="1" fieldPosition="0">
        <references count="1">
          <reference field="9" count="1" selected="0">
            <x v="0"/>
          </reference>
        </references>
      </pivotArea>
    </format>
    <format dxfId="84">
      <pivotArea collapsedLevelsAreSubtotals="1" fieldPosition="0">
        <references count="1">
          <reference field="9" count="1" selected="0">
            <x v="0"/>
          </reference>
        </references>
      </pivotArea>
    </format>
    <format dxfId="83">
      <pivotArea collapsedLevelsAreSubtotals="1" fieldPosition="0">
        <references count="1">
          <reference field="9" count="1" selected="0">
            <x v="1"/>
          </reference>
        </references>
      </pivotArea>
    </format>
    <format dxfId="82">
      <pivotArea collapsedLevelsAreSubtotals="1" fieldPosition="0">
        <references count="1">
          <reference field="9" count="1" selected="0">
            <x v="1"/>
          </reference>
        </references>
      </pivotArea>
    </format>
    <format dxfId="81">
      <pivotArea grandRow="1" collapsedLevelsAreSubtotals="1" fieldPosition="0"/>
    </format>
    <format dxfId="80">
      <pivotArea grandRow="1"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9000000}" name="PivotTable32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J77:P83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st of Treatment " fld="6" baseField="0" baseItem="0"/>
  </dataFields>
  <formats count="12">
    <format dxfId="116">
      <pivotArea dataOnly="0" axis="axisValues" fieldPosition="0"/>
    </format>
    <format dxfId="115">
      <pivotArea collapsedLevelsAreSubtotals="1" fieldPosition="0"/>
    </format>
    <format dxfId="114">
      <pivotArea dataOnly="0" axis="axisValues" fieldPosition="0"/>
    </format>
    <format dxfId="113">
      <pivotArea collapsedLevelsAreSubtotals="1" fieldPosition="0"/>
    </format>
    <format dxfId="112">
      <pivotArea dataOnly="0" axis="axisValues" fieldPosition="0"/>
    </format>
    <format dxfId="111">
      <pivotArea collapsedLevelsAreSubtotals="1" fieldPosition="0"/>
    </format>
    <format dxfId="110">
      <pivotArea dataOnly="0" axis="axisValues" fieldPosition="0"/>
    </format>
    <format dxfId="109">
      <pivotArea collapsedLevelsAreSubtotals="1" fieldPosition="0"/>
    </format>
    <format dxfId="108">
      <pivotArea dataOnly="0" axis="axisValues" fieldPosition="0"/>
    </format>
    <format dxfId="107">
      <pivotArea collapsedLevelsAreSubtotals="1" fieldPosition="0"/>
    </format>
    <format dxfId="106">
      <pivotArea collapsedLevelsAreSubtotals="1" fieldPosition="0"/>
    </format>
    <format dxfId="105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PivotTable19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E3:G6" firstHeaderRow="0" firstDataRow="1" firstDataCol="1"/>
  <pivotFields count="12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_ID" fld="0" subtotal="count" showDataAs="percentOfTotal" baseField="0" baseItem="0" numFmtId="10"/>
    <dataField name="Count of Patient_ID2" fld="0" subtotal="count" baseField="0" baseItem="0"/>
  </dataFields>
  <formats count="11">
    <format dxfId="127">
      <pivotArea dataOnly="0" axis="axisValues" fieldPosition="0"/>
    </format>
    <format dxfId="126">
      <pivotArea collapsedLevelsAreSubtotals="1" fieldPosition="0"/>
    </format>
    <format dxfId="125">
      <pivotArea dataOnly="0" axis="axisValues" fieldPosition="0"/>
    </format>
    <format dxfId="124">
      <pivotArea collapsedLevelsAreSubtotals="1" fieldPosition="0"/>
    </format>
    <format dxfId="123">
      <pivotArea dataOnly="0" axis="axisValues" fieldPosition="0"/>
    </format>
    <format dxfId="122">
      <pivotArea collapsedLevelsAreSubtotals="1" fieldPosition="0"/>
    </format>
    <format dxfId="121">
      <pivotArea dataOnly="0" axis="axisValues" fieldPosition="0"/>
    </format>
    <format dxfId="120">
      <pivotArea collapsedLevelsAreSubtotals="1" fieldPosition="0"/>
    </format>
    <format dxfId="119">
      <pivotArea dataOnly="0" axis="axisValues" fieldPosition="0"/>
    </format>
    <format dxfId="118">
      <pivotArea collapsedLevelsAreSubtotals="1" fieldPosition="0"/>
    </format>
    <format dxfId="117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F000000}" name="PivotTable8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L2:M7" firstHeaderRow="1" firstDataRow="1" firstDataCol="1"/>
  <pivotFields count="12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formats count="10">
    <format dxfId="137">
      <pivotArea dataOnly="0" axis="axisValues" fieldPosition="0"/>
    </format>
    <format dxfId="136">
      <pivotArea collapsedLevelsAreSubtotals="1" fieldPosition="0"/>
    </format>
    <format dxfId="135">
      <pivotArea dataOnly="0" axis="axisValues" fieldPosition="0"/>
    </format>
    <format dxfId="134">
      <pivotArea collapsedLevelsAreSubtotals="1" fieldPosition="0"/>
    </format>
    <format dxfId="133">
      <pivotArea dataOnly="0" axis="axisValues" fieldPosition="0"/>
    </format>
    <format dxfId="132">
      <pivotArea collapsedLevelsAreSubtotals="1" fieldPosition="0"/>
    </format>
    <format dxfId="131">
      <pivotArea dataOnly="0" axis="axisValues" fieldPosition="0"/>
    </format>
    <format dxfId="130">
      <pivotArea collapsedLevelsAreSubtotals="1" fieldPosition="0"/>
    </format>
    <format dxfId="129">
      <pivotArea dataOnly="0" axis="axisValues" fieldPosition="0"/>
    </format>
    <format dxfId="12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C000000}" name="PivotTable20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E9:F15" firstHeaderRow="1" firstDataRow="1" firstDataCol="1"/>
  <pivotFields count="12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Patient_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18">
    <format dxfId="155">
      <pivotArea dataOnly="0" axis="axisValues" fieldPosition="0"/>
    </format>
    <format dxfId="154">
      <pivotArea collapsedLevelsAreSubtotals="1" fieldPosition="0"/>
    </format>
    <format dxfId="153">
      <pivotArea dataOnly="0" axis="axisValues" fieldPosition="0"/>
    </format>
    <format dxfId="152">
      <pivotArea collapsedLevelsAreSubtotals="1" fieldPosition="0"/>
    </format>
    <format dxfId="151">
      <pivotArea dataOnly="0" axis="axisValues" fieldPosition="0"/>
    </format>
    <format dxfId="150">
      <pivotArea collapsedLevelsAreSubtotals="1" fieldPosition="0"/>
    </format>
    <format dxfId="149">
      <pivotArea dataOnly="0" axis="axisValues" fieldPosition="0"/>
    </format>
    <format dxfId="148">
      <pivotArea collapsedLevelsAreSubtotals="1" fieldPosition="0"/>
    </format>
    <format dxfId="147">
      <pivotArea dataOnly="0" axis="axisValues" fieldPosition="0"/>
    </format>
    <format dxfId="146">
      <pivotArea collapsedLevelsAreSubtotals="1" fieldPosition="0"/>
    </format>
    <format dxfId="145">
      <pivotArea collapsedLevelsAreSubtotals="1" fieldPosition="0"/>
    </format>
    <format dxfId="144">
      <pivotArea collapsedLevelsAreSubtotals="1" fieldPosition="0"/>
    </format>
    <format dxfId="143">
      <pivotArea collapsedLevelsAreSubtotals="1" fieldPosition="0"/>
    </format>
    <format dxfId="142">
      <pivotArea collapsedLevelsAreSubtotals="1" fieldPosition="0"/>
    </format>
    <format dxfId="141">
      <pivotArea collapsedLevelsAreSubtotals="1" fieldPosition="0"/>
    </format>
    <format dxfId="140">
      <pivotArea collapsedLevelsAreSubtotals="1" fieldPosition="0"/>
    </format>
    <format dxfId="139">
      <pivotArea collapsedLevelsAreSubtotals="1" fieldPosition="0"/>
    </format>
    <format dxfId="138">
      <pivotArea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16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Y29:AB36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Col" dataField="1"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Outcome" fld="9" subtotal="count" showDataAs="percentOfRow" baseField="0" baseItem="0" numFmtId="10"/>
  </dataFields>
  <formats count="12">
    <format dxfId="167">
      <pivotArea dataOnly="0" axis="axisValues" fieldPosition="0"/>
    </format>
    <format dxfId="166">
      <pivotArea collapsedLevelsAreSubtotals="1" fieldPosition="0"/>
    </format>
    <format dxfId="165">
      <pivotArea dataOnly="0" axis="axisValues" fieldPosition="0"/>
    </format>
    <format dxfId="164">
      <pivotArea collapsedLevelsAreSubtotals="1" fieldPosition="0"/>
    </format>
    <format dxfId="163">
      <pivotArea dataOnly="0" axis="axisValues" fieldPosition="0"/>
    </format>
    <format dxfId="162">
      <pivotArea collapsedLevelsAreSubtotals="1" fieldPosition="0"/>
    </format>
    <format dxfId="161">
      <pivotArea dataOnly="0" axis="axisValues" fieldPosition="0"/>
    </format>
    <format dxfId="160">
      <pivotArea collapsedLevelsAreSubtotals="1" fieldPosition="0"/>
    </format>
    <format dxfId="159">
      <pivotArea dataOnly="0" axis="axisValues" fieldPosition="0"/>
    </format>
    <format dxfId="158">
      <pivotArea collapsedLevelsAreSubtotals="1" fieldPosition="0"/>
    </format>
    <format dxfId="157">
      <pivotArea collapsedLevelsAreSubtotals="1" fieldPosition="0"/>
    </format>
    <format dxfId="156">
      <pivotArea grandRow="1"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B000000}" name="PivotTable2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I3:I4" firstHeaderRow="1" firstDataRow="1" firstDataCol="0"/>
  <pivotFields count="12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dataFields count="1">
    <dataField name="Count of Patient_ID" fld="0" subtotal="count" baseField="0" baseItem="0"/>
  </dataFields>
  <formats count="10">
    <format dxfId="177">
      <pivotArea dataOnly="0" axis="axisValues" fieldPosition="0"/>
    </format>
    <format dxfId="176">
      <pivotArea collapsedLevelsAreSubtotals="1" fieldPosition="0"/>
    </format>
    <format dxfId="175">
      <pivotArea dataOnly="0" axis="axisValues" fieldPosition="0"/>
    </format>
    <format dxfId="174">
      <pivotArea collapsedLevelsAreSubtotals="1" fieldPosition="0"/>
    </format>
    <format dxfId="173">
      <pivotArea dataOnly="0" axis="axisValues" fieldPosition="0"/>
    </format>
    <format dxfId="172">
      <pivotArea collapsedLevelsAreSubtotals="1" fieldPosition="0"/>
    </format>
    <format dxfId="171">
      <pivotArea dataOnly="0" axis="axisValues" fieldPosition="0"/>
    </format>
    <format dxfId="170">
      <pivotArea collapsedLevelsAreSubtotals="1" fieldPosition="0"/>
    </format>
    <format dxfId="169">
      <pivotArea dataOnly="0" axis="axisValues" fieldPosition="0"/>
    </format>
    <format dxfId="16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17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D20:AG26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dataField="1"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ender" fld="2" subtotal="count" showDataAs="percentOfRow" baseField="0" baseItem="0" numFmtId="10"/>
  </dataFields>
  <formats count="12">
    <format dxfId="189">
      <pivotArea dataOnly="0" axis="axisValues" fieldPosition="0"/>
    </format>
    <format dxfId="188">
      <pivotArea collapsedLevelsAreSubtotals="1" fieldPosition="0"/>
    </format>
    <format dxfId="187">
      <pivotArea dataOnly="0" axis="axisValues" fieldPosition="0"/>
    </format>
    <format dxfId="186">
      <pivotArea collapsedLevelsAreSubtotals="1" fieldPosition="0"/>
    </format>
    <format dxfId="185">
      <pivotArea dataOnly="0" axis="axisValues" fieldPosition="0"/>
    </format>
    <format dxfId="184">
      <pivotArea collapsedLevelsAreSubtotals="1" fieldPosition="0"/>
    </format>
    <format dxfId="183">
      <pivotArea dataOnly="0" axis="axisValues" fieldPosition="0"/>
    </format>
    <format dxfId="182">
      <pivotArea collapsedLevelsAreSubtotals="1" fieldPosition="0"/>
    </format>
    <format dxfId="181">
      <pivotArea dataOnly="0" axis="axisValues" fieldPosition="0"/>
    </format>
    <format dxfId="180">
      <pivotArea collapsedLevelsAreSubtotals="1" fieldPosition="0"/>
    </format>
    <format dxfId="179">
      <pivotArea collapsedLevelsAreSubtotals="1" fieldPosition="0"/>
    </format>
    <format dxfId="178">
      <pivotArea grandRow="1"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4000000}" name="PivotTable28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P10:R16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dataField="1" compact="0" showAll="0">
      <items count="3">
        <item x="0"/>
        <item x="1"/>
        <item t="default"/>
      </items>
    </pivotField>
    <pivotField axis="axisRow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2">
    <i>
      <x/>
    </i>
    <i>
      <x v="1"/>
    </i>
  </colItems>
  <dataFields count="1">
    <dataField name="Count of Gender" fld="2" subtotal="count" showDataAs="percentOfTotal" baseField="0" baseItem="0" numFmtId="10"/>
  </dataFields>
  <formats count="11">
    <format dxfId="200">
      <pivotArea dataOnly="0" axis="axisValues" fieldPosition="0"/>
    </format>
    <format dxfId="199">
      <pivotArea collapsedLevelsAreSubtotals="1" fieldPosition="0"/>
    </format>
    <format dxfId="198">
      <pivotArea dataOnly="0" axis="axisValues" fieldPosition="0"/>
    </format>
    <format dxfId="197">
      <pivotArea collapsedLevelsAreSubtotals="1" fieldPosition="0"/>
    </format>
    <format dxfId="196">
      <pivotArea dataOnly="0" axis="axisValues" fieldPosition="0"/>
    </format>
    <format dxfId="195">
      <pivotArea collapsedLevelsAreSubtotals="1" fieldPosition="0"/>
    </format>
    <format dxfId="194">
      <pivotArea dataOnly="0" axis="axisValues" fieldPosition="0"/>
    </format>
    <format dxfId="193">
      <pivotArea collapsedLevelsAreSubtotals="1" fieldPosition="0"/>
    </format>
    <format dxfId="192">
      <pivotArea dataOnly="0" axis="axisValues" fieldPosition="0"/>
    </format>
    <format dxfId="191">
      <pivotArea collapsedLevelsAreSubtotals="1" fieldPosition="0"/>
    </format>
    <format dxfId="190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F000000}" name="PivotTable23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E27:F34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dataField="1"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dmission_Date" fld="4" subtotal="count" baseField="0" baseItem="0"/>
  </dataFields>
  <formats count="15">
    <format dxfId="215">
      <pivotArea dataOnly="0" axis="axisValues" fieldPosition="0"/>
    </format>
    <format dxfId="214">
      <pivotArea collapsedLevelsAreSubtotals="1" fieldPosition="0"/>
    </format>
    <format dxfId="213">
      <pivotArea dataOnly="0" axis="axisValues" fieldPosition="0"/>
    </format>
    <format dxfId="212">
      <pivotArea collapsedLevelsAreSubtotals="1" fieldPosition="0"/>
    </format>
    <format dxfId="211">
      <pivotArea dataOnly="0" axis="axisValues" fieldPosition="0"/>
    </format>
    <format dxfId="210">
      <pivotArea collapsedLevelsAreSubtotals="1" fieldPosition="0"/>
    </format>
    <format dxfId="209">
      <pivotArea dataOnly="0" axis="axisValues" fieldPosition="0"/>
    </format>
    <format dxfId="208">
      <pivotArea collapsedLevelsAreSubtotals="1" fieldPosition="0"/>
    </format>
    <format dxfId="207">
      <pivotArea dataOnly="0" axis="axisValues" fieldPosition="0"/>
    </format>
    <format dxfId="206">
      <pivotArea collapsedLevelsAreSubtotals="1" fieldPosition="0"/>
    </format>
    <format dxfId="205">
      <pivotArea collapsedLevelsAreSubtotals="1" fieldPosition="0"/>
    </format>
    <format dxfId="204">
      <pivotArea collapsedLevelsAreSubtotals="1" fieldPosition="0"/>
    </format>
    <format dxfId="203">
      <pivotArea collapsedLevelsAreSubtotals="1" fieldPosition="0"/>
    </format>
    <format dxfId="202">
      <pivotArea collapsedLevelsAreSubtotals="1" fieldPosition="0"/>
    </format>
    <format dxfId="201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0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O20:P25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reatment_Cost" fld="6" subtotal="average" baseField="0" baseItem="0"/>
  </dataFields>
  <formats count="12">
    <format dxfId="227">
      <pivotArea dataOnly="0" axis="axisValues" fieldPosition="0"/>
    </format>
    <format dxfId="226">
      <pivotArea collapsedLevelsAreSubtotals="1" fieldPosition="0"/>
    </format>
    <format dxfId="225">
      <pivotArea dataOnly="0" axis="axisValues" fieldPosition="0"/>
    </format>
    <format dxfId="224">
      <pivotArea collapsedLevelsAreSubtotals="1" fieldPosition="0"/>
    </format>
    <format dxfId="223">
      <pivotArea dataOnly="0" axis="axisValues" fieldPosition="0"/>
    </format>
    <format dxfId="222">
      <pivotArea collapsedLevelsAreSubtotals="1" fieldPosition="0"/>
    </format>
    <format dxfId="221">
      <pivotArea dataOnly="0" axis="axisValues" fieldPosition="0"/>
    </format>
    <format dxfId="220">
      <pivotArea collapsedLevelsAreSubtotals="1" fieldPosition="0"/>
    </format>
    <format dxfId="219">
      <pivotArea dataOnly="0" axis="axisValues" fieldPosition="0"/>
    </format>
    <format dxfId="218">
      <pivotArea collapsedLevelsAreSubtotals="1" fieldPosition="0"/>
    </format>
    <format dxfId="217">
      <pivotArea collapsedLevelsAreSubtotals="1" fieldPosition="0"/>
    </format>
    <format dxfId="216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2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O2:U8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eatment_Cost" fld="6" subtotal="count" baseField="0" baseItem="0"/>
  </dataFields>
  <formats count="10">
    <format dxfId="237">
      <pivotArea dataOnly="0" axis="axisValues" fieldPosition="0"/>
    </format>
    <format dxfId="236">
      <pivotArea collapsedLevelsAreSubtotals="1" fieldPosition="0"/>
    </format>
    <format dxfId="235">
      <pivotArea dataOnly="0" axis="axisValues" fieldPosition="0"/>
    </format>
    <format dxfId="234">
      <pivotArea collapsedLevelsAreSubtotals="1" fieldPosition="0"/>
    </format>
    <format dxfId="233">
      <pivotArea dataOnly="0" axis="axisValues" fieldPosition="0"/>
    </format>
    <format dxfId="232">
      <pivotArea collapsedLevelsAreSubtotals="1" fieldPosition="0"/>
    </format>
    <format dxfId="231">
      <pivotArea dataOnly="0" axis="axisValues" fieldPosition="0"/>
    </format>
    <format dxfId="230">
      <pivotArea collapsedLevelsAreSubtotals="1" fieldPosition="0"/>
    </format>
    <format dxfId="229">
      <pivotArea dataOnly="0" axis="axisValues" fieldPosition="0"/>
    </format>
    <format dxfId="22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3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L10:N16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dataField="1" compact="0" showAll="0">
      <items count="3">
        <item x="0"/>
        <item x="1"/>
        <item t="default"/>
      </items>
    </pivotField>
    <pivotField axis="axisRow" compact="0" showAll="0" sortType="descending">
      <items count="6">
        <item x="2"/>
        <item x="1"/>
        <item x="4"/>
        <item x="0"/>
        <item x="3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2">
    <i>
      <x/>
    </i>
    <i>
      <x v="1"/>
    </i>
  </colItems>
  <dataFields count="1">
    <dataField name="Count of Gender" fld="2" subtotal="count" baseField="0" baseItem="0"/>
  </dataFields>
  <formats count="10">
    <format dxfId="247">
      <pivotArea dataOnly="0" axis="axisValues" fieldPosition="0"/>
    </format>
    <format dxfId="246">
      <pivotArea collapsedLevelsAreSubtotals="1" fieldPosition="0"/>
    </format>
    <format dxfId="245">
      <pivotArea dataOnly="0" axis="axisValues" fieldPosition="0"/>
    </format>
    <format dxfId="244">
      <pivotArea collapsedLevelsAreSubtotals="1" fieldPosition="0"/>
    </format>
    <format dxfId="243">
      <pivotArea dataOnly="0" axis="axisValues" fieldPosition="0"/>
    </format>
    <format dxfId="242">
      <pivotArea collapsedLevelsAreSubtotals="1" fieldPosition="0"/>
    </format>
    <format dxfId="241">
      <pivotArea dataOnly="0" axis="axisValues" fieldPosition="0"/>
    </format>
    <format dxfId="240">
      <pivotArea collapsedLevelsAreSubtotals="1" fieldPosition="0"/>
    </format>
    <format dxfId="239">
      <pivotArea dataOnly="0" axis="axisValues" fieldPosition="0"/>
    </format>
    <format dxfId="23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0000000}" name="PivotTable9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F66:M72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axis="axisCol" compact="0" multipleItemSelectionAllowe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reatment_Cost" fld="6" baseField="0" baseItem="0"/>
  </dataFields>
  <formats count="12">
    <format dxfId="259">
      <pivotArea dataOnly="0" axis="axisValues" fieldPosition="0"/>
    </format>
    <format dxfId="258">
      <pivotArea collapsedLevelsAreSubtotals="1" fieldPosition="0"/>
    </format>
    <format dxfId="257">
      <pivotArea dataOnly="0" axis="axisValues" fieldPosition="0"/>
    </format>
    <format dxfId="256">
      <pivotArea collapsedLevelsAreSubtotals="1" fieldPosition="0"/>
    </format>
    <format dxfId="255">
      <pivotArea dataOnly="0" axis="axisValues" fieldPosition="0"/>
    </format>
    <format dxfId="254">
      <pivotArea collapsedLevelsAreSubtotals="1" fieldPosition="0"/>
    </format>
    <format dxfId="253">
      <pivotArea dataOnly="0" axis="axisValues" fieldPosition="0"/>
    </format>
    <format dxfId="252">
      <pivotArea collapsedLevelsAreSubtotals="1" fieldPosition="0"/>
    </format>
    <format dxfId="251">
      <pivotArea dataOnly="0" axis="axisValues" fieldPosition="0"/>
    </format>
    <format dxfId="250">
      <pivotArea collapsedLevelsAreSubtotals="1" fieldPosition="0"/>
    </format>
    <format dxfId="249">
      <pivotArea collapsedLevelsAreSubtotals="1" fieldPosition="0"/>
    </format>
    <format dxfId="24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0000000}" name="PivotTable24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8">
  <location ref="M56:S64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iagnosis" fld="3" subtotal="count" baseField="0" baseItem="0"/>
  </dataFields>
  <formats count="31">
    <format dxfId="290">
      <pivotArea dataOnly="0" axis="axisValues" fieldPosition="0"/>
    </format>
    <format dxfId="289">
      <pivotArea collapsedLevelsAreSubtotals="1" fieldPosition="0"/>
    </format>
    <format dxfId="288">
      <pivotArea dataOnly="0" axis="axisValues" fieldPosition="0"/>
    </format>
    <format dxfId="287">
      <pivotArea collapsedLevelsAreSubtotals="1" fieldPosition="0"/>
    </format>
    <format dxfId="286">
      <pivotArea dataOnly="0" axis="axisValues" fieldPosition="0"/>
    </format>
    <format dxfId="285">
      <pivotArea collapsedLevelsAreSubtotals="1" fieldPosition="0"/>
    </format>
    <format dxfId="284">
      <pivotArea dataOnly="0" axis="axisValues" fieldPosition="0"/>
    </format>
    <format dxfId="283">
      <pivotArea collapsedLevelsAreSubtotals="1" fieldPosition="0"/>
    </format>
    <format dxfId="282">
      <pivotArea dataOnly="0" axis="axisValues" fieldPosition="0"/>
    </format>
    <format dxfId="281">
      <pivotArea collapsedLevelsAreSubtotals="1" fieldPosition="0"/>
    </format>
    <format dxfId="280">
      <pivotArea collapsedLevelsAreSubtotals="1" fieldPosition="0"/>
    </format>
    <format dxfId="279">
      <pivotArea collapsedLevelsAreSubtotals="1" fieldPosition="0"/>
    </format>
    <format dxfId="278">
      <pivotArea collapsedLevelsAreSubtotals="1" fieldPosition="0"/>
    </format>
    <format dxfId="277">
      <pivotArea collapsedLevelsAreSubtotals="1" fieldPosition="0"/>
    </format>
    <format dxfId="276">
      <pivotArea collapsedLevelsAreSubtotals="1" fieldPosition="0"/>
    </format>
    <format dxfId="275">
      <pivotArea collapsedLevelsAreSubtotals="1" fieldPosition="0"/>
    </format>
    <format dxfId="274">
      <pivotArea grandRow="1" collapsedLevelsAreSubtotals="1" fieldPosition="0"/>
    </format>
    <format dxfId="273">
      <pivotArea collapsedLevelsAreSubtotals="1" fieldPosition="0">
        <references count="1">
          <reference field="11" count="1" selected="0">
            <x v="0"/>
          </reference>
        </references>
      </pivotArea>
    </format>
    <format dxfId="272">
      <pivotArea collapsedLevelsAreSubtotals="1" fieldPosition="0">
        <references count="1">
          <reference field="11" count="1" selected="0">
            <x v="1"/>
          </reference>
        </references>
      </pivotArea>
    </format>
    <format dxfId="271">
      <pivotArea collapsedLevelsAreSubtotals="1" fieldPosition="0">
        <references count="1">
          <reference field="11" count="1" selected="0">
            <x v="2"/>
          </reference>
        </references>
      </pivotArea>
    </format>
    <format dxfId="270">
      <pivotArea collapsedLevelsAreSubtotals="1" fieldPosition="0">
        <references count="1">
          <reference field="11" count="1" selected="0">
            <x v="3"/>
          </reference>
        </references>
      </pivotArea>
    </format>
    <format dxfId="269">
      <pivotArea collapsedLevelsAreSubtotals="1" fieldPosition="0">
        <references count="1">
          <reference field="11" count="1" selected="0">
            <x v="4"/>
          </reference>
        </references>
      </pivotArea>
    </format>
    <format dxfId="268">
      <pivotArea collapsedLevelsAreSubtotals="1" fieldPosition="0">
        <references count="1">
          <reference field="11" count="1" selected="0">
            <x v="5"/>
          </reference>
        </references>
      </pivotArea>
    </format>
    <format dxfId="267">
      <pivotArea collapsedLevelsAreSubtotals="1" fieldPosition="0">
        <references count="1">
          <reference field="11" count="1" selected="0">
            <x v="0"/>
          </reference>
        </references>
      </pivotArea>
    </format>
    <format dxfId="266">
      <pivotArea collapsedLevelsAreSubtotals="1" fieldPosition="0">
        <references count="1">
          <reference field="11" count="1" selected="0">
            <x v="1"/>
          </reference>
        </references>
      </pivotArea>
    </format>
    <format dxfId="265">
      <pivotArea collapsedLevelsAreSubtotals="1" fieldPosition="0">
        <references count="1">
          <reference field="11" count="1" selected="0">
            <x v="2"/>
          </reference>
        </references>
      </pivotArea>
    </format>
    <format dxfId="264">
      <pivotArea collapsedLevelsAreSubtotals="1" fieldPosition="0">
        <references count="1">
          <reference field="11" count="1" selected="0">
            <x v="3"/>
          </reference>
        </references>
      </pivotArea>
    </format>
    <format dxfId="263">
      <pivotArea collapsedLevelsAreSubtotals="1" fieldPosition="0">
        <references count="1">
          <reference field="11" count="1" selected="0">
            <x v="4"/>
          </reference>
        </references>
      </pivotArea>
    </format>
    <format dxfId="262">
      <pivotArea collapsedLevelsAreSubtotals="1" fieldPosition="0">
        <references count="1">
          <reference field="11" count="1" selected="0">
            <x v="5"/>
          </reference>
        </references>
      </pivotArea>
    </format>
    <format dxfId="261">
      <pivotArea collapsedLevelsAreSubtotals="1" fieldPosition="0"/>
    </format>
    <format dxfId="260">
      <pivotArea grandRow="1" collapsedLevelsAreSubtotals="1" fieldPosition="0"/>
    </format>
  </format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6000000}" name="PivotTable3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I7:I8" firstHeaderRow="1" firstDataRow="1" firstDataCol="0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dataFields count="1">
    <dataField name="Distinct Count of Gender" fld="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10">
    <format dxfId="300">
      <pivotArea dataOnly="0" axis="axisValues" fieldPosition="0"/>
    </format>
    <format dxfId="299">
      <pivotArea collapsedLevelsAreSubtotals="1" fieldPosition="0"/>
    </format>
    <format dxfId="298">
      <pivotArea dataOnly="0" axis="axisValues" fieldPosition="0"/>
    </format>
    <format dxfId="297">
      <pivotArea collapsedLevelsAreSubtotals="1" fieldPosition="0"/>
    </format>
    <format dxfId="296">
      <pivotArea dataOnly="0" axis="axisValues" fieldPosition="0"/>
    </format>
    <format dxfId="295">
      <pivotArea collapsedLevelsAreSubtotals="1" fieldPosition="0"/>
    </format>
    <format dxfId="294">
      <pivotArea dataOnly="0" axis="axisValues" fieldPosition="0"/>
    </format>
    <format dxfId="293">
      <pivotArea collapsedLevelsAreSubtotals="1" fieldPosition="0"/>
    </format>
    <format dxfId="292">
      <pivotArea dataOnly="0" axis="axisValues" fieldPosition="0"/>
    </format>
    <format dxfId="291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D000000}" name="PivotTable21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10">
  <location ref="B20:C26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eatment_Cost" fld="6" baseField="0" baseItem="0"/>
  </dataFields>
  <formats count="12">
    <format dxfId="312">
      <pivotArea dataOnly="0" axis="axisValues" fieldPosition="0"/>
    </format>
    <format dxfId="311">
      <pivotArea collapsedLevelsAreSubtotals="1" fieldPosition="0"/>
    </format>
    <format dxfId="310">
      <pivotArea dataOnly="0" axis="axisValues" fieldPosition="0"/>
    </format>
    <format dxfId="309">
      <pivotArea collapsedLevelsAreSubtotals="1" fieldPosition="0"/>
    </format>
    <format dxfId="308">
      <pivotArea dataOnly="0" axis="axisValues" fieldPosition="0"/>
    </format>
    <format dxfId="307">
      <pivotArea collapsedLevelsAreSubtotals="1" fieldPosition="0"/>
    </format>
    <format dxfId="306">
      <pivotArea dataOnly="0" axis="axisValues" fieldPosition="0"/>
    </format>
    <format dxfId="305">
      <pivotArea collapsedLevelsAreSubtotals="1" fieldPosition="0"/>
    </format>
    <format dxfId="304">
      <pivotArea dataOnly="0" axis="axisValues" fieldPosition="0"/>
    </format>
    <format dxfId="303">
      <pivotArea collapsedLevelsAreSubtotals="1" fieldPosition="0"/>
    </format>
    <format dxfId="302">
      <pivotArea collapsedLevelsAreSubtotals="1" fieldPosition="0"/>
    </format>
    <format dxfId="301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15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M47:P53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Col" dataField="1"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Outcome" fld="9" subtotal="count" baseField="0" baseItem="0"/>
  </dataFields>
  <formats count="10">
    <format dxfId="322">
      <pivotArea dataOnly="0" axis="axisValues" fieldPosition="0"/>
    </format>
    <format dxfId="321">
      <pivotArea collapsedLevelsAreSubtotals="1" fieldPosition="0"/>
    </format>
    <format dxfId="320">
      <pivotArea dataOnly="0" axis="axisValues" fieldPosition="0"/>
    </format>
    <format dxfId="319">
      <pivotArea collapsedLevelsAreSubtotals="1" fieldPosition="0"/>
    </format>
    <format dxfId="318">
      <pivotArea dataOnly="0" axis="axisValues" fieldPosition="0"/>
    </format>
    <format dxfId="317">
      <pivotArea collapsedLevelsAreSubtotals="1" fieldPosition="0"/>
    </format>
    <format dxfId="316">
      <pivotArea dataOnly="0" axis="axisValues" fieldPosition="0"/>
    </format>
    <format dxfId="315">
      <pivotArea collapsedLevelsAreSubtotals="1" fieldPosition="0"/>
    </format>
    <format dxfId="314">
      <pivotArea dataOnly="0" axis="axisValues" fieldPosition="0"/>
    </format>
    <format dxfId="313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C000000}" name="PivotTable5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I15:I16" firstHeaderRow="1" firstDataRow="1" firstDataCol="0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dataFields count="1">
    <dataField name="Sum of Treatment_Cost" fld="6" baseField="0" baseItem="0"/>
  </dataFields>
  <formats count="13">
    <format dxfId="335">
      <pivotArea dataOnly="0" axis="axisValues" fieldPosition="0"/>
    </format>
    <format dxfId="334">
      <pivotArea collapsedLevelsAreSubtotals="1" fieldPosition="0"/>
    </format>
    <format dxfId="333">
      <pivotArea dataOnly="0" axis="axisValues" fieldPosition="0"/>
    </format>
    <format dxfId="332">
      <pivotArea collapsedLevelsAreSubtotals="1" fieldPosition="0"/>
    </format>
    <format dxfId="331">
      <pivotArea dataOnly="0" axis="axisValues" fieldPosition="0"/>
    </format>
    <format dxfId="330">
      <pivotArea collapsedLevelsAreSubtotals="1" fieldPosition="0"/>
    </format>
    <format dxfId="329">
      <pivotArea dataOnly="0" axis="axisValues" fieldPosition="0"/>
    </format>
    <format dxfId="328">
      <pivotArea collapsedLevelsAreSubtotals="1" fieldPosition="0"/>
    </format>
    <format dxfId="327">
      <pivotArea dataOnly="0" axis="axisValues" fieldPosition="0"/>
    </format>
    <format dxfId="326">
      <pivotArea collapsedLevelsAreSubtotals="1" fieldPosition="0"/>
    </format>
    <format dxfId="325">
      <pivotArea collapsedLevelsAreSubtotals="1" fieldPosition="0"/>
    </format>
    <format dxfId="324">
      <pivotArea collapsedLevelsAreSubtotals="1" fieldPosition="0"/>
    </format>
    <format dxfId="323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5" minRefreshableVersion="3" useAutoFormatting="1" colGrandTotals="0" createdVersion="5" indent="0" compact="0" outline="1" outlineData="1" compactData="0" multipleFieldFilters="0" chartFormat="4">
  <location ref="B3:C17" firstHeaderRow="1" firstDataRow="1" firstDataCol="1"/>
  <pivotFields count="12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 sortType="ascending">
      <items count="16">
        <item x="0"/>
        <item x="1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atient_ID" fld="0" subtotal="count" baseField="0" baseItem="0"/>
  </dataFields>
  <formats count="10">
    <format dxfId="345">
      <pivotArea dataOnly="0" axis="axisValues" fieldPosition="0"/>
    </format>
    <format dxfId="344">
      <pivotArea collapsedLevelsAreSubtotals="1" fieldPosition="0"/>
    </format>
    <format dxfId="343">
      <pivotArea dataOnly="0" axis="axisValues" fieldPosition="0"/>
    </format>
    <format dxfId="342">
      <pivotArea collapsedLevelsAreSubtotals="1" fieldPosition="0"/>
    </format>
    <format dxfId="341">
      <pivotArea dataOnly="0" axis="axisValues" fieldPosition="0"/>
    </format>
    <format dxfId="340">
      <pivotArea collapsedLevelsAreSubtotals="1" fieldPosition="0"/>
    </format>
    <format dxfId="339">
      <pivotArea dataOnly="0" axis="axisValues" fieldPosition="0"/>
    </format>
    <format dxfId="338">
      <pivotArea collapsedLevelsAreSubtotals="1" fieldPosition="0"/>
    </format>
    <format dxfId="337">
      <pivotArea dataOnly="0" axis="axisValues" fieldPosition="0"/>
    </format>
    <format dxfId="336">
      <pivotArea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14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Y3:AE18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iagnosis" fld="3" subtotal="count" baseField="0" baseItem="0"/>
  </dataFields>
  <formats count="10">
    <format dxfId="355">
      <pivotArea dataOnly="0" axis="axisValues" fieldPosition="0"/>
    </format>
    <format dxfId="354">
      <pivotArea collapsedLevelsAreSubtotals="1" fieldPosition="0"/>
    </format>
    <format dxfId="353">
      <pivotArea dataOnly="0" axis="axisValues" fieldPosition="0"/>
    </format>
    <format dxfId="352">
      <pivotArea collapsedLevelsAreSubtotals="1" fieldPosition="0"/>
    </format>
    <format dxfId="351">
      <pivotArea dataOnly="0" axis="axisValues" fieldPosition="0"/>
    </format>
    <format dxfId="350">
      <pivotArea collapsedLevelsAreSubtotals="1" fieldPosition="0"/>
    </format>
    <format dxfId="349">
      <pivotArea dataOnly="0" axis="axisValues" fieldPosition="0"/>
    </format>
    <format dxfId="348">
      <pivotArea collapsedLevelsAreSubtotals="1" fieldPosition="0"/>
    </format>
    <format dxfId="347">
      <pivotArea dataOnly="0" axis="axisValues" fieldPosition="0"/>
    </format>
    <format dxfId="346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18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D29:AJ35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iagnosis" fld="3" subtotal="count" baseField="0" baseItem="0"/>
  </dataFields>
  <formats count="10">
    <format dxfId="365">
      <pivotArea dataOnly="0" axis="axisValues" fieldPosition="0"/>
    </format>
    <format dxfId="364">
      <pivotArea collapsedLevelsAreSubtotals="1" fieldPosition="0"/>
    </format>
    <format dxfId="363">
      <pivotArea dataOnly="0" axis="axisValues" fieldPosition="0"/>
    </format>
    <format dxfId="362">
      <pivotArea collapsedLevelsAreSubtotals="1" fieldPosition="0"/>
    </format>
    <format dxfId="361">
      <pivotArea dataOnly="0" axis="axisValues" fieldPosition="0"/>
    </format>
    <format dxfId="360">
      <pivotArea collapsedLevelsAreSubtotals="1" fieldPosition="0"/>
    </format>
    <format dxfId="359">
      <pivotArea dataOnly="0" axis="axisValues" fieldPosition="0"/>
    </format>
    <format dxfId="358">
      <pivotArea collapsedLevelsAreSubtotals="1" fieldPosition="0"/>
    </format>
    <format dxfId="357">
      <pivotArea dataOnly="0" axis="axisValues" fieldPosition="0"/>
    </format>
    <format dxfId="356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3000000}" name="PivotTable27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P28:S34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Col" dataField="1" compact="0" multipleItemSelectionAllowed="1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Outcome" fld="9" subtotal="count" showDataAs="percentOfTotal" baseField="0" baseItem="0" numFmtId="10"/>
  </dataFields>
  <formats count="12">
    <format dxfId="377">
      <pivotArea dataOnly="0" axis="axisValues" fieldPosition="0"/>
    </format>
    <format dxfId="376">
      <pivotArea collapsedLevelsAreSubtotals="1" fieldPosition="0"/>
    </format>
    <format dxfId="375">
      <pivotArea dataOnly="0" axis="axisValues" fieldPosition="0"/>
    </format>
    <format dxfId="374">
      <pivotArea collapsedLevelsAreSubtotals="1" fieldPosition="0"/>
    </format>
    <format dxfId="373">
      <pivotArea dataOnly="0" axis="axisValues" fieldPosition="0"/>
    </format>
    <format dxfId="372">
      <pivotArea collapsedLevelsAreSubtotals="1" fieldPosition="0"/>
    </format>
    <format dxfId="371">
      <pivotArea dataOnly="0" axis="axisValues" fieldPosition="0"/>
    </format>
    <format dxfId="370">
      <pivotArea collapsedLevelsAreSubtotals="1" fieldPosition="0"/>
    </format>
    <format dxfId="369">
      <pivotArea dataOnly="0" axis="axisValues" fieldPosition="0"/>
    </format>
    <format dxfId="368">
      <pivotArea collapsedLevelsAreSubtotals="1" fieldPosition="0"/>
    </format>
    <format dxfId="367">
      <pivotArea collapsedLevelsAreSubtotals="1" fieldPosition="0"/>
    </format>
    <format dxfId="366">
      <pivotArea grandRow="1"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5000000}" name="PivotTable29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H31:K35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3"/>
        <item x="4"/>
        <item x="2"/>
        <item x="1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utcome" fld="9" subtotal="count" baseField="0" baseItem="0"/>
  </dataFields>
  <formats count="18">
    <format dxfId="395">
      <pivotArea dataOnly="0" axis="axisValues" fieldPosition="0"/>
    </format>
    <format dxfId="394">
      <pivotArea collapsedLevelsAreSubtotals="1" fieldPosition="0"/>
    </format>
    <format dxfId="393">
      <pivotArea dataOnly="0" axis="axisValues" fieldPosition="0"/>
    </format>
    <format dxfId="392">
      <pivotArea collapsedLevelsAreSubtotals="1" fieldPosition="0"/>
    </format>
    <format dxfId="391">
      <pivotArea dataOnly="0" axis="axisValues" fieldPosition="0"/>
    </format>
    <format dxfId="390">
      <pivotArea collapsedLevelsAreSubtotals="1" fieldPosition="0"/>
    </format>
    <format dxfId="389">
      <pivotArea dataOnly="0" axis="axisValues" fieldPosition="0"/>
    </format>
    <format dxfId="388">
      <pivotArea collapsedLevelsAreSubtotals="1" fieldPosition="0"/>
    </format>
    <format dxfId="387">
      <pivotArea dataOnly="0" axis="axisValues" fieldPosition="0"/>
    </format>
    <format dxfId="386">
      <pivotArea collapsedLevelsAreSubtotals="1" fieldPosition="0"/>
    </format>
    <format dxfId="385">
      <pivotArea collapsedLevelsAreSubtotals="1" fieldPosition="0"/>
    </format>
    <format dxfId="384">
      <pivotArea collapsedLevelsAreSubtotals="1" fieldPosition="0"/>
    </format>
    <format dxfId="383">
      <pivotArea collapsedLevelsAreSubtotals="1" fieldPosition="0"/>
    </format>
    <format dxfId="382">
      <pivotArea collapsedLevelsAreSubtotals="1" fieldPosition="0"/>
    </format>
    <format dxfId="381">
      <pivotArea collapsedLevelsAreSubtotals="1" fieldPosition="0"/>
    </format>
    <format dxfId="380">
      <pivotArea collapsedLevelsAreSubtotals="1" fieldPosition="0"/>
    </format>
    <format dxfId="379">
      <pivotArea collapsedLevelsAreSubtotals="1" fieldPosition="0"/>
    </format>
    <format dxfId="37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E000000}" name="PivotTable7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E18:F24" firstHeaderRow="1" firstDataRow="1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reatment_Cost" fld="6" subtotal="average" baseField="0" baseItem="0"/>
  </dataFields>
  <formats count="12">
    <format dxfId="407">
      <pivotArea dataOnly="0" axis="axisValues" fieldPosition="0"/>
    </format>
    <format dxfId="406">
      <pivotArea collapsedLevelsAreSubtotals="1" fieldPosition="0"/>
    </format>
    <format dxfId="405">
      <pivotArea dataOnly="0" axis="axisValues" fieldPosition="0"/>
    </format>
    <format dxfId="404">
      <pivotArea collapsedLevelsAreSubtotals="1" fieldPosition="0"/>
    </format>
    <format dxfId="403">
      <pivotArea dataOnly="0" axis="axisValues" fieldPosition="0"/>
    </format>
    <format dxfId="402">
      <pivotArea collapsedLevelsAreSubtotals="1" fieldPosition="0"/>
    </format>
    <format dxfId="401">
      <pivotArea dataOnly="0" axis="axisValues" fieldPosition="0"/>
    </format>
    <format dxfId="400">
      <pivotArea collapsedLevelsAreSubtotals="1" fieldPosition="0"/>
    </format>
    <format dxfId="399">
      <pivotArea dataOnly="0" axis="axisValues" fieldPosition="0"/>
    </format>
    <format dxfId="398">
      <pivotArea collapsedLevelsAreSubtotals="1" fieldPosition="0"/>
    </format>
    <format dxfId="397">
      <pivotArea collapsedLevelsAreSubtotals="1" fieldPosition="0"/>
    </format>
    <format dxfId="396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8000000}" name="PivotTable31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B75:H81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6">
        <item x="3"/>
        <item x="0"/>
        <item x="4"/>
        <item x="1"/>
        <item x="2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Diagnostic Treatment Cost by Hospital" fld="6" baseField="0" baseItem="0"/>
  </dataFields>
  <formats count="12">
    <format dxfId="419">
      <pivotArea dataOnly="0" axis="axisValues" fieldPosition="0"/>
    </format>
    <format dxfId="418">
      <pivotArea collapsedLevelsAreSubtotals="1" fieldPosition="0"/>
    </format>
    <format dxfId="417">
      <pivotArea dataOnly="0" axis="axisValues" fieldPosition="0"/>
    </format>
    <format dxfId="416">
      <pivotArea collapsedLevelsAreSubtotals="1" fieldPosition="0"/>
    </format>
    <format dxfId="415">
      <pivotArea dataOnly="0" axis="axisValues" fieldPosition="0"/>
    </format>
    <format dxfId="414">
      <pivotArea collapsedLevelsAreSubtotals="1" fieldPosition="0"/>
    </format>
    <format dxfId="413">
      <pivotArea dataOnly="0" axis="axisValues" fieldPosition="0"/>
    </format>
    <format dxfId="412">
      <pivotArea collapsedLevelsAreSubtotals="1" fieldPosition="0"/>
    </format>
    <format dxfId="411">
      <pivotArea dataOnly="0" axis="axisValues" fieldPosition="0"/>
    </format>
    <format dxfId="410">
      <pivotArea collapsedLevelsAreSubtotals="1" fieldPosition="0"/>
    </format>
    <format dxfId="409">
      <pivotArea collapsedLevelsAreSubtotals="1" fieldPosition="0"/>
    </format>
    <format dxfId="40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A000000}" name="PivotTable33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S18:V25" firstHeaderRow="1" firstDataRow="2" firstDataCol="1"/>
  <pivotFields count="12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 sortType="descending">
      <items count="6">
        <item x="2"/>
        <item x="1"/>
        <item x="4"/>
        <item x="0"/>
        <item x="3"/>
        <item t="default"/>
      </items>
    </pivotField>
    <pivotField compact="0" numFmtId="14" showAll="0">
      <items count="124">
        <item x="95"/>
        <item x="113"/>
        <item x="78"/>
        <item x="71"/>
        <item x="9"/>
        <item x="46"/>
        <item x="121"/>
        <item x="2"/>
        <item x="33"/>
        <item x="110"/>
        <item x="114"/>
        <item x="36"/>
        <item x="41"/>
        <item x="108"/>
        <item x="22"/>
        <item x="34"/>
        <item x="55"/>
        <item x="77"/>
        <item x="47"/>
        <item x="0"/>
        <item x="35"/>
        <item x="6"/>
        <item x="28"/>
        <item x="31"/>
        <item x="60"/>
        <item x="118"/>
        <item x="62"/>
        <item x="102"/>
        <item x="84"/>
        <item x="4"/>
        <item x="104"/>
        <item x="109"/>
        <item x="49"/>
        <item x="58"/>
        <item x="112"/>
        <item x="99"/>
        <item x="59"/>
        <item x="16"/>
        <item x="117"/>
        <item x="93"/>
        <item x="37"/>
        <item x="82"/>
        <item x="54"/>
        <item x="86"/>
        <item x="83"/>
        <item x="69"/>
        <item x="18"/>
        <item x="45"/>
        <item x="106"/>
        <item x="7"/>
        <item x="120"/>
        <item x="50"/>
        <item x="38"/>
        <item x="40"/>
        <item x="8"/>
        <item x="89"/>
        <item x="97"/>
        <item x="10"/>
        <item x="3"/>
        <item x="29"/>
        <item x="27"/>
        <item x="42"/>
        <item x="24"/>
        <item x="115"/>
        <item x="14"/>
        <item x="88"/>
        <item x="61"/>
        <item x="51"/>
        <item x="39"/>
        <item x="32"/>
        <item x="17"/>
        <item x="13"/>
        <item x="53"/>
        <item x="107"/>
        <item x="122"/>
        <item x="20"/>
        <item x="65"/>
        <item x="57"/>
        <item x="90"/>
        <item x="94"/>
        <item x="48"/>
        <item x="5"/>
        <item x="96"/>
        <item x="85"/>
        <item x="66"/>
        <item x="101"/>
        <item x="15"/>
        <item x="81"/>
        <item x="75"/>
        <item x="23"/>
        <item x="43"/>
        <item x="1"/>
        <item x="64"/>
        <item x="111"/>
        <item x="52"/>
        <item x="70"/>
        <item x="68"/>
        <item x="44"/>
        <item x="92"/>
        <item x="105"/>
        <item x="30"/>
        <item x="25"/>
        <item x="98"/>
        <item x="11"/>
        <item x="119"/>
        <item x="116"/>
        <item x="19"/>
        <item x="87"/>
        <item x="103"/>
        <item x="100"/>
        <item x="12"/>
        <item x="67"/>
        <item x="21"/>
        <item x="79"/>
        <item x="80"/>
        <item x="63"/>
        <item x="73"/>
        <item x="74"/>
        <item x="91"/>
        <item x="72"/>
        <item x="26"/>
        <item x="76"/>
        <item x="56"/>
        <item t="default"/>
      </items>
    </pivotField>
    <pivotField compact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showAll="0">
      <items count="201">
        <item x="102"/>
        <item x="19"/>
        <item x="67"/>
        <item x="126"/>
        <item x="143"/>
        <item x="33"/>
        <item x="179"/>
        <item x="146"/>
        <item x="103"/>
        <item x="161"/>
        <item x="42"/>
        <item x="195"/>
        <item x="188"/>
        <item x="86"/>
        <item x="46"/>
        <item x="40"/>
        <item x="38"/>
        <item x="128"/>
        <item x="5"/>
        <item x="157"/>
        <item x="124"/>
        <item x="176"/>
        <item x="13"/>
        <item x="131"/>
        <item x="26"/>
        <item x="54"/>
        <item x="21"/>
        <item x="182"/>
        <item x="112"/>
        <item x="136"/>
        <item x="47"/>
        <item x="69"/>
        <item x="57"/>
        <item x="153"/>
        <item x="45"/>
        <item x="35"/>
        <item x="137"/>
        <item x="159"/>
        <item x="178"/>
        <item x="138"/>
        <item x="9"/>
        <item x="113"/>
        <item x="152"/>
        <item x="22"/>
        <item x="154"/>
        <item x="121"/>
        <item x="28"/>
        <item x="10"/>
        <item x="8"/>
        <item x="32"/>
        <item x="149"/>
        <item x="96"/>
        <item x="60"/>
        <item x="66"/>
        <item x="7"/>
        <item x="87"/>
        <item x="91"/>
        <item x="78"/>
        <item x="36"/>
        <item x="192"/>
        <item x="164"/>
        <item x="147"/>
        <item x="29"/>
        <item x="0"/>
        <item x="174"/>
        <item x="177"/>
        <item x="109"/>
        <item x="166"/>
        <item x="17"/>
        <item x="79"/>
        <item x="75"/>
        <item x="194"/>
        <item x="190"/>
        <item x="70"/>
        <item x="77"/>
        <item x="90"/>
        <item x="12"/>
        <item x="175"/>
        <item x="116"/>
        <item x="115"/>
        <item x="53"/>
        <item x="72"/>
        <item x="114"/>
        <item x="63"/>
        <item x="199"/>
        <item x="135"/>
        <item x="50"/>
        <item x="51"/>
        <item x="169"/>
        <item x="41"/>
        <item x="196"/>
        <item x="92"/>
        <item x="18"/>
        <item x="160"/>
        <item x="81"/>
        <item x="100"/>
        <item x="118"/>
        <item x="93"/>
        <item x="123"/>
        <item x="134"/>
        <item x="105"/>
        <item x="25"/>
        <item x="20"/>
        <item x="151"/>
        <item x="173"/>
        <item x="186"/>
        <item x="144"/>
        <item x="180"/>
        <item x="99"/>
        <item x="73"/>
        <item x="129"/>
        <item x="162"/>
        <item x="125"/>
        <item x="61"/>
        <item x="82"/>
        <item x="27"/>
        <item x="84"/>
        <item x="98"/>
        <item x="59"/>
        <item x="1"/>
        <item x="132"/>
        <item x="193"/>
        <item x="127"/>
        <item x="11"/>
        <item x="141"/>
        <item x="88"/>
        <item x="111"/>
        <item x="163"/>
        <item x="198"/>
        <item x="106"/>
        <item x="101"/>
        <item x="6"/>
        <item x="165"/>
        <item x="120"/>
        <item x="43"/>
        <item x="14"/>
        <item x="171"/>
        <item x="58"/>
        <item x="74"/>
        <item x="83"/>
        <item x="122"/>
        <item x="104"/>
        <item x="2"/>
        <item x="170"/>
        <item x="3"/>
        <item x="187"/>
        <item x="107"/>
        <item x="185"/>
        <item x="108"/>
        <item x="49"/>
        <item x="167"/>
        <item x="130"/>
        <item x="158"/>
        <item x="30"/>
        <item x="16"/>
        <item x="64"/>
        <item x="142"/>
        <item x="183"/>
        <item x="133"/>
        <item x="37"/>
        <item x="172"/>
        <item x="95"/>
        <item x="56"/>
        <item x="119"/>
        <item x="191"/>
        <item x="94"/>
        <item x="140"/>
        <item x="31"/>
        <item x="23"/>
        <item x="39"/>
        <item x="139"/>
        <item x="150"/>
        <item x="189"/>
        <item x="80"/>
        <item x="155"/>
        <item x="65"/>
        <item x="62"/>
        <item x="110"/>
        <item x="184"/>
        <item x="145"/>
        <item x="55"/>
        <item x="156"/>
        <item x="117"/>
        <item x="85"/>
        <item x="15"/>
        <item x="181"/>
        <item x="4"/>
        <item x="24"/>
        <item x="148"/>
        <item x="168"/>
        <item x="68"/>
        <item x="34"/>
        <item x="71"/>
        <item x="44"/>
        <item x="89"/>
        <item x="48"/>
        <item x="197"/>
        <item x="97"/>
        <item x="52"/>
        <item x="76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Col" dataField="1" compact="0" showAll="0">
      <items count="3">
        <item x="1"/>
        <item x="0"/>
        <item t="default"/>
      </items>
    </pivotField>
    <pivotField compact="0" numFmtId="14" showAll="0">
      <items count="119">
        <item x="88"/>
        <item x="116"/>
        <item x="63"/>
        <item x="103"/>
        <item x="70"/>
        <item x="34"/>
        <item x="61"/>
        <item x="108"/>
        <item x="9"/>
        <item x="2"/>
        <item x="47"/>
        <item x="41"/>
        <item x="32"/>
        <item x="81"/>
        <item x="82"/>
        <item x="105"/>
        <item x="101"/>
        <item x="35"/>
        <item x="23"/>
        <item x="112"/>
        <item x="0"/>
        <item x="48"/>
        <item x="71"/>
        <item x="28"/>
        <item x="38"/>
        <item x="6"/>
        <item x="31"/>
        <item x="4"/>
        <item x="114"/>
        <item x="102"/>
        <item x="96"/>
        <item x="79"/>
        <item x="104"/>
        <item x="50"/>
        <item x="90"/>
        <item x="17"/>
        <item x="83"/>
        <item x="77"/>
        <item x="80"/>
        <item x="39"/>
        <item x="19"/>
        <item x="60"/>
        <item x="53"/>
        <item x="98"/>
        <item x="46"/>
        <item x="106"/>
        <item x="7"/>
        <item x="51"/>
        <item x="111"/>
        <item x="74"/>
        <item x="3"/>
        <item x="40"/>
        <item x="10"/>
        <item x="8"/>
        <item x="12"/>
        <item x="43"/>
        <item x="109"/>
        <item x="27"/>
        <item x="15"/>
        <item x="76"/>
        <item x="86"/>
        <item x="36"/>
        <item x="37"/>
        <item x="33"/>
        <item x="18"/>
        <item x="52"/>
        <item x="92"/>
        <item x="89"/>
        <item x="69"/>
        <item x="117"/>
        <item x="21"/>
        <item x="14"/>
        <item x="49"/>
        <item x="5"/>
        <item x="58"/>
        <item x="85"/>
        <item x="59"/>
        <item x="16"/>
        <item x="75"/>
        <item x="67"/>
        <item x="1"/>
        <item x="24"/>
        <item x="57"/>
        <item x="93"/>
        <item x="54"/>
        <item x="62"/>
        <item x="78"/>
        <item x="84"/>
        <item x="44"/>
        <item x="55"/>
        <item x="97"/>
        <item x="45"/>
        <item x="30"/>
        <item x="29"/>
        <item x="25"/>
        <item x="100"/>
        <item x="107"/>
        <item x="20"/>
        <item x="13"/>
        <item x="11"/>
        <item x="115"/>
        <item x="113"/>
        <item x="91"/>
        <item x="22"/>
        <item x="65"/>
        <item x="66"/>
        <item x="73"/>
        <item x="99"/>
        <item x="95"/>
        <item x="110"/>
        <item x="87"/>
        <item x="72"/>
        <item x="26"/>
        <item x="56"/>
        <item x="42"/>
        <item x="94"/>
        <item x="68"/>
        <item x="6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Outcome" fld="9" subtotal="count" baseField="0" baseItem="0"/>
  </dataFields>
  <formats count="15">
    <format dxfId="434">
      <pivotArea dataOnly="0" axis="axisValues" fieldPosition="0"/>
    </format>
    <format dxfId="433">
      <pivotArea collapsedLevelsAreSubtotals="1" fieldPosition="0"/>
    </format>
    <format dxfId="432">
      <pivotArea dataOnly="0" axis="axisValues" fieldPosition="0"/>
    </format>
    <format dxfId="431">
      <pivotArea collapsedLevelsAreSubtotals="1" fieldPosition="0"/>
    </format>
    <format dxfId="430">
      <pivotArea dataOnly="0" axis="axisValues" fieldPosition="0"/>
    </format>
    <format dxfId="429">
      <pivotArea collapsedLevelsAreSubtotals="1" fieldPosition="0"/>
    </format>
    <format dxfId="428">
      <pivotArea dataOnly="0" axis="axisValues" fieldPosition="0"/>
    </format>
    <format dxfId="427">
      <pivotArea collapsedLevelsAreSubtotals="1" fieldPosition="0"/>
    </format>
    <format dxfId="426">
      <pivotArea dataOnly="0" axis="axisValues" fieldPosition="0"/>
    </format>
    <format dxfId="425">
      <pivotArea collapsedLevelsAreSubtotals="1" fieldPosition="0"/>
    </format>
    <format dxfId="424">
      <pivotArea collapsedLevelsAreSubtotals="1" fieldPosition="0"/>
    </format>
    <format dxfId="423">
      <pivotArea collapsedLevelsAreSubtotals="1" fieldPosition="0">
        <references count="1">
          <reference field="3" count="1" selected="0">
            <x v="4"/>
          </reference>
        </references>
      </pivotArea>
    </format>
    <format dxfId="422">
      <pivotArea collapsedLevelsAreSubtotals="1" fieldPosition="0"/>
    </format>
    <format dxfId="421">
      <pivotArea collapsedLevelsAreSubtotals="1" fieldPosition="0"/>
    </format>
    <format dxfId="420">
      <pivotArea collapsedLevelsAreSubtotals="1" fieldPosition="0"/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ly_Admission7" xr10:uid="{00000000-0013-0000-FFFF-FFFF01000000}" sourceName="Monthly_Admission">
  <pivotTables>
    <pivotTable tabId="2" name="PivotTable4"/>
    <pivotTable tabId="2" name="PivotTable1"/>
    <pivotTable tabId="2" name="PivotTable26"/>
    <pivotTable tabId="2" name="PivotTable27"/>
    <pivotTable tabId="2" name="PivotTable5"/>
    <pivotTable tabId="2" name="PivotTable29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20"/>
    <pivotTable tabId="2" name="PivotTable28"/>
    <pivotTable tabId="2" name="PivotTable11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6">
        <i x="0" s="1"/>
        <i x="3" s="1"/>
        <i x="4" s="1"/>
        <i x="2" s="1"/>
        <i x="1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agnosis6" xr10:uid="{00000000-0013-0000-FFFF-FFFF02000000}" sourceName="Diagnosis">
  <pivotTables>
    <pivotTable tabId="2" name="PivotTable20"/>
    <pivotTable tabId="2" name="PivotTable1"/>
    <pivotTable tabId="2" name="PivotTable26"/>
    <pivotTable tabId="2" name="PivotTable27"/>
    <pivotTable tabId="2" name="PivotTable5"/>
    <pivotTable tabId="2" name="PivotTable29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8"/>
    <pivotTable tabId="2" name="PivotTable11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5">
        <i x="3" s="1"/>
        <i x="0" s="1"/>
        <i x="4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4" xr10:uid="{00000000-0013-0000-FFFF-FFFF03000000}" sourceName="City">
  <pivotTables>
    <pivotTable tabId="2" name="PivotTable32"/>
    <pivotTable tabId="2" name="PivotTable1"/>
    <pivotTable tabId="2" name="PivotTable26"/>
    <pivotTable tabId="2" name="PivotTable27"/>
    <pivotTable tabId="2" name="PivotTable5"/>
    <pivotTable tabId="2" name="PivotTable29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0"/>
    <pivotTable tabId="2" name="PivotTable28"/>
    <pivotTable tabId="2" name="PivotTable11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3"/>
  </pivotTables>
  <data>
    <tabular pivotCacheId="1">
      <items count="4">
        <i x="1" s="1"/>
        <i x="0" s="1"/>
        <i x="3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ength_of_Stay" xr10:uid="{00000000-0013-0000-FFFF-FFFF04000000}" sourceName="Length_of_Stay">
  <pivotTables>
    <pivotTable tabId="2" name="PivotTable11"/>
    <pivotTable tabId="2" name="PivotTable1"/>
    <pivotTable tabId="2" name="PivotTable26"/>
    <pivotTable tabId="2" name="PivotTable27"/>
    <pivotTable tabId="2" name="PivotTable5"/>
    <pivotTable tabId="2" name="PivotTable29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0"/>
    <pivotTable tabId="2" name="PivotTable28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9">
        <i x="0" s="1"/>
        <i x="6" s="1"/>
        <i x="1" s="1"/>
        <i x="7" s="1"/>
        <i x="2" s="1"/>
        <i x="3" s="1"/>
        <i x="4" s="1"/>
        <i x="5" s="1"/>
        <i x="8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3" xr10:uid="{00000000-0013-0000-FFFF-FFFF05000000}" sourceName="Age">
  <pivotTables>
    <pivotTable tabId="2" name="PivotTable22"/>
    <pivotTable tabId="2" name="PivotTable1"/>
    <pivotTable tabId="2" name="PivotTable26"/>
    <pivotTable tabId="2" name="PivotTable27"/>
    <pivotTable tabId="2" name="PivotTable5"/>
    <pivotTable tabId="2" name="PivotTable29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0"/>
    <pivotTable tabId="2" name="PivotTable28"/>
    <pivotTable tabId="2" name="PivotTable11"/>
    <pivotTable tabId="2" name="PivotTable21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15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0" s="1" nd="1"/>
        <i x="14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Hospital" xr10:uid="{00000000-0013-0000-FFFF-FFFF06000000}" sourceName="Hospital">
  <pivotTables>
    <pivotTable tabId="2" name="PivotTable9"/>
    <pivotTable tabId="2" name="PivotTable1"/>
    <pivotTable tabId="2" name="PivotTable26"/>
    <pivotTable tabId="2" name="PivotTable27"/>
    <pivotTable tabId="2" name="PivotTable5"/>
    <pivotTable tabId="2" name="PivotTable29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0"/>
    <pivotTable tabId="2" name="PivotTable28"/>
    <pivotTable tabId="2" name="PivotTable11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4">
        <i x="2" s="1"/>
        <i x="1" s="1"/>
        <i x="3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come" xr10:uid="{00000000-0013-0000-FFFF-FFFF07000000}" sourceName="Outcome">
  <pivotTables>
    <pivotTable tabId="2" name="PivotTable29"/>
    <pivotTable tabId="2" name="PivotTable1"/>
    <pivotTable tabId="2" name="PivotTable26"/>
    <pivotTable tabId="2" name="PivotTable27"/>
    <pivotTable tabId="2" name="PivotTable5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0"/>
    <pivotTable tabId="2" name="PivotTable28"/>
    <pivotTable tabId="2" name="PivotTable11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2">
        <i x="1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1" xr10:uid="{00000000-0013-0000-FFFF-FFFF08000000}" sourceName="Gender">
  <pivotTables>
    <pivotTable tabId="2" name="PivotTable29"/>
    <pivotTable tabId="2" name="PivotTable1"/>
    <pivotTable tabId="2" name="PivotTable26"/>
    <pivotTable tabId="2" name="PivotTable27"/>
    <pivotTable tabId="2" name="PivotTable5"/>
    <pivotTable tabId="2" name="PivotTable30"/>
    <pivotTable tabId="2" name="PivotTable12"/>
    <pivotTable tabId="2" name="PivotTable13"/>
    <pivotTable tabId="2" name="PivotTable14"/>
    <pivotTable tabId="2" name="PivotTable15"/>
    <pivotTable tabId="2" name="PivotTable16"/>
    <pivotTable tabId="2" name="PivotTable19"/>
    <pivotTable tabId="2" name="PivotTable2"/>
    <pivotTable tabId="2" name="PivotTable3"/>
    <pivotTable tabId="2" name="PivotTable6"/>
    <pivotTable tabId="2" name="PivotTable8"/>
    <pivotTable tabId="2" name="PivotTable9"/>
    <pivotTable tabId="2" name="PivotTable10"/>
    <pivotTable tabId="2" name="PivotTable7"/>
    <pivotTable tabId="2" name="PivotTable17"/>
    <pivotTable tabId="2" name="PivotTable18"/>
    <pivotTable tabId="2" name="PivotTable4"/>
    <pivotTable tabId="2" name="PivotTable20"/>
    <pivotTable tabId="2" name="PivotTable28"/>
    <pivotTable tabId="2" name="PivotTable11"/>
    <pivotTable tabId="2" name="PivotTable21"/>
    <pivotTable tabId="2" name="PivotTable22"/>
    <pivotTable tabId="2" name="PivotTable23"/>
    <pivotTable tabId="2" name="PivotTable24"/>
    <pivotTable tabId="2" name="PivotTable25"/>
    <pivotTable tabId="2" name="PivotTable31"/>
    <pivotTable tabId="2" name="PivotTable32"/>
    <pivotTable tabId="2" name="PivotTable33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ly_Admission" xr10:uid="{00000000-0014-0000-FFFF-FFFF02000000}" cache="Slicer_Monthly_Admission7" caption="Monthly_Admission" columnCount="3" style="SlicerStyleDark6" rowHeight="225425"/>
  <slicer name="Monthly Revenue" xr10:uid="{00000000-0014-0000-FFFF-FFFF0C000000}" cache="Slicer_Monthly_Admission7" caption="Monthly_Admission" style="SlicerStyleLight6" rowHeight="225425"/>
  <slicer name="Diagnosis" xr10:uid="{00000000-0014-0000-FFFF-FFFF05000000}" cache="Slicer_Diagnosis6" caption="Diagnosis" style="SlicerStyleOther1" rowHeight="225425"/>
  <slicer name="Diagnosis 2" xr10:uid="{00000000-0014-0000-FFFF-FFFF06000000}" cache="Slicer_Diagnosis6" caption="Diagnosis" style="SlicerStyleDark5" rowHeight="225425"/>
  <slicer name="Diagnosis 5" xr10:uid="{00000000-0014-0000-FFFF-FFFF0A000000}" cache="Slicer_Diagnosis6" caption="Diagnosis" style="SlicerStyleDark4" rowHeight="225425"/>
  <slicer name="Diagnosis 6" xr10:uid="{00000000-0014-0000-FFFF-FFFF0D000000}" cache="Slicer_Diagnosis6" caption="Diagnosis" style="SlicerStyleDark2" rowHeight="225425"/>
  <slicer name="City 4" xr10:uid="{00000000-0014-0000-FFFF-FFFF09000000}" cache="Slicer_City4" caption="City" style="SlicerStyleDark3" rowHeight="225425"/>
  <slicer name="Length_of_Stay" xr10:uid="{00000000-0014-0000-FFFF-FFFF07000000}" cache="Slicer_Length_of_Stay" caption="Length_of_Stay" style="SlicerStyleDark1" rowHeight="225425"/>
  <slicer name="Age" xr10:uid="{00000000-0014-0000-FFFF-FFFF01000000}" cache="Slicer_Age3" caption="Age" startItem="2" style="SlicerStyleDark6" rowHeight="225425"/>
  <slicer name="Age 3" xr10:uid="{00000000-0014-0000-FFFF-FFFF08000000}" cache="Slicer_Age3" caption="Age" startItem="8" style="SlicerStyleDark6" rowHeight="225425"/>
  <slicer name="Hospital" xr10:uid="{00000000-0014-0000-FFFF-FFFF0B000000}" cache="Slicer_Hospital" caption="Hospital" style="SlicerStyleDark5" rowHeight="225425"/>
  <slicer name="Outcome" xr10:uid="{00000000-0014-0000-FFFF-FFFF04000000}" cache="Slicer_Outcome" caption="Outcome" style="SlicerStyleLight5" rowHeight="225425"/>
  <slicer name="Gender 1" xr10:uid="{00000000-0014-0000-FFFF-FFFF03000000}" cache="Slicer_Gender1" caption="Gender" style="SlicerStyleLight3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224"/>
  <sheetViews>
    <sheetView workbookViewId="0"/>
  </sheetViews>
  <sheetFormatPr defaultColWidth="9.140625" defaultRowHeight="15"/>
  <cols>
    <col min="2" max="2" width="38.140625"/>
    <col min="3" max="3" width="15.7109375" style="10"/>
    <col min="4" max="8" width="15.7109375"/>
    <col min="9" max="9" width="22.42578125"/>
    <col min="10" max="10" width="18.85546875"/>
    <col min="11" max="16" width="15.7109375"/>
    <col min="17" max="18" width="14"/>
    <col min="19" max="19" width="18.7109375"/>
    <col min="20" max="21" width="11.7109375"/>
    <col min="22" max="22" width="11.85546875"/>
    <col min="23" max="23" width="11.7109375"/>
    <col min="24" max="24" width="11.85546875"/>
    <col min="25" max="25" width="18.7109375"/>
    <col min="26" max="27" width="11.7109375"/>
    <col min="28" max="28" width="11.85546875"/>
    <col min="29" max="29" width="14"/>
    <col min="30" max="30" width="19"/>
    <col min="31" max="35" width="14"/>
    <col min="36" max="36" width="11.85546875"/>
    <col min="37" max="40" width="16.5703125"/>
    <col min="41" max="41" width="12.140625"/>
    <col min="42" max="42" width="27.7109375"/>
    <col min="43" max="45" width="14"/>
    <col min="46" max="46" width="11.28515625"/>
    <col min="47" max="51" width="14"/>
    <col min="52" max="52" width="11.28515625"/>
    <col min="53" max="57" width="14"/>
    <col min="58" max="58" width="11.28515625"/>
    <col min="59" max="63" width="14"/>
    <col min="64" max="64" width="11.28515625"/>
    <col min="65" max="69" width="14"/>
    <col min="70" max="70" width="11.28515625"/>
    <col min="71" max="74" width="10"/>
    <col min="75" max="75" width="11.28515625"/>
    <col min="76" max="80" width="14"/>
    <col min="81" max="81" width="11.28515625"/>
    <col min="82" max="86" width="14"/>
    <col min="87" max="87" width="11.28515625"/>
    <col min="88" max="92" width="14"/>
    <col min="93" max="93" width="11.28515625"/>
    <col min="94" max="97" width="14"/>
    <col min="98" max="98" width="11.28515625"/>
    <col min="99" max="99" width="11.85546875"/>
    <col min="100" max="202" width="13"/>
    <col min="203" max="203" width="11.85546875"/>
  </cols>
  <sheetData>
    <row r="1" spans="2:31">
      <c r="L1" t="s">
        <v>0</v>
      </c>
    </row>
    <row r="2" spans="2:31">
      <c r="B2" t="s">
        <v>1</v>
      </c>
      <c r="E2" t="s">
        <v>2</v>
      </c>
      <c r="L2" t="s">
        <v>3</v>
      </c>
      <c r="M2" s="10" t="s">
        <v>4</v>
      </c>
      <c r="O2" t="s">
        <v>5</v>
      </c>
      <c r="P2" t="s">
        <v>6</v>
      </c>
    </row>
    <row r="3" spans="2:31">
      <c r="B3" t="s">
        <v>7</v>
      </c>
      <c r="C3" s="10" t="s">
        <v>4</v>
      </c>
      <c r="E3" t="s">
        <v>8</v>
      </c>
      <c r="F3" t="s">
        <v>4</v>
      </c>
      <c r="G3" t="s">
        <v>9</v>
      </c>
      <c r="I3" s="10" t="s">
        <v>4</v>
      </c>
      <c r="L3" t="s">
        <v>10</v>
      </c>
      <c r="M3" s="10">
        <v>53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Y3" t="s">
        <v>18</v>
      </c>
      <c r="Z3" t="s">
        <v>6</v>
      </c>
    </row>
    <row r="4" spans="2:31">
      <c r="B4" t="s">
        <v>19</v>
      </c>
      <c r="C4" s="10">
        <v>17</v>
      </c>
      <c r="E4" t="s">
        <v>20</v>
      </c>
      <c r="F4" s="11">
        <v>0.51500000000000001</v>
      </c>
      <c r="G4" s="10">
        <v>103</v>
      </c>
      <c r="I4" s="10">
        <v>200</v>
      </c>
      <c r="L4" t="s">
        <v>21</v>
      </c>
      <c r="M4" s="10">
        <v>53</v>
      </c>
      <c r="O4" t="s">
        <v>22</v>
      </c>
      <c r="P4" s="10">
        <v>11</v>
      </c>
      <c r="Q4" s="10">
        <v>10</v>
      </c>
      <c r="R4" s="10">
        <v>9</v>
      </c>
      <c r="S4" s="10">
        <v>9</v>
      </c>
      <c r="T4" s="10">
        <v>7</v>
      </c>
      <c r="U4" s="10">
        <v>46</v>
      </c>
      <c r="Y4" t="s">
        <v>7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</row>
    <row r="5" spans="2:31">
      <c r="B5" t="s">
        <v>23</v>
      </c>
      <c r="C5" s="10">
        <v>17</v>
      </c>
      <c r="E5" t="s">
        <v>24</v>
      </c>
      <c r="F5" s="11">
        <v>0.48499999999999999</v>
      </c>
      <c r="G5" s="10">
        <v>97</v>
      </c>
      <c r="I5">
        <f>GETPIVOTDATA("Patient_ID",$I$3)</f>
        <v>200</v>
      </c>
      <c r="L5" t="s">
        <v>25</v>
      </c>
      <c r="M5" s="10">
        <v>47</v>
      </c>
      <c r="O5" t="s">
        <v>26</v>
      </c>
      <c r="P5" s="10">
        <v>6</v>
      </c>
      <c r="Q5" s="10">
        <v>13</v>
      </c>
      <c r="R5" s="10">
        <v>12</v>
      </c>
      <c r="S5" s="10">
        <v>5</v>
      </c>
      <c r="T5" s="10">
        <v>8</v>
      </c>
      <c r="U5" s="10">
        <v>44</v>
      </c>
      <c r="Y5" t="s">
        <v>19</v>
      </c>
      <c r="Z5" s="10"/>
      <c r="AA5" s="10">
        <v>4</v>
      </c>
      <c r="AB5" s="10">
        <v>3</v>
      </c>
      <c r="AC5" s="10">
        <v>4</v>
      </c>
      <c r="AD5" s="10">
        <v>6</v>
      </c>
      <c r="AE5" s="10">
        <v>17</v>
      </c>
    </row>
    <row r="6" spans="2:31">
      <c r="B6" t="s">
        <v>27</v>
      </c>
      <c r="C6" s="10">
        <v>18</v>
      </c>
      <c r="E6" t="s">
        <v>17</v>
      </c>
      <c r="F6" s="11">
        <v>1</v>
      </c>
      <c r="G6" s="10">
        <v>200</v>
      </c>
      <c r="L6" t="s">
        <v>28</v>
      </c>
      <c r="M6" s="10">
        <v>47</v>
      </c>
      <c r="O6" t="s">
        <v>29</v>
      </c>
      <c r="P6" s="10">
        <v>13</v>
      </c>
      <c r="Q6" s="10">
        <v>9</v>
      </c>
      <c r="R6" s="10">
        <v>10</v>
      </c>
      <c r="S6" s="10">
        <v>10</v>
      </c>
      <c r="T6" s="10">
        <v>10</v>
      </c>
      <c r="U6" s="10">
        <v>52</v>
      </c>
      <c r="Y6" t="s">
        <v>23</v>
      </c>
      <c r="Z6" s="10">
        <v>5</v>
      </c>
      <c r="AA6" s="10">
        <v>1</v>
      </c>
      <c r="AB6" s="10">
        <v>4</v>
      </c>
      <c r="AC6" s="10">
        <v>3</v>
      </c>
      <c r="AD6" s="10">
        <v>4</v>
      </c>
      <c r="AE6" s="10">
        <v>17</v>
      </c>
    </row>
    <row r="7" spans="2:31">
      <c r="B7" t="s">
        <v>30</v>
      </c>
      <c r="C7" s="10">
        <v>9</v>
      </c>
      <c r="I7" s="10" t="s">
        <v>31</v>
      </c>
      <c r="L7" t="s">
        <v>17</v>
      </c>
      <c r="M7" s="10">
        <v>200</v>
      </c>
      <c r="O7" t="s">
        <v>32</v>
      </c>
      <c r="P7" s="10">
        <v>12</v>
      </c>
      <c r="Q7" s="10">
        <v>11</v>
      </c>
      <c r="R7" s="10">
        <v>11</v>
      </c>
      <c r="S7" s="10">
        <v>9</v>
      </c>
      <c r="T7" s="10">
        <v>15</v>
      </c>
      <c r="U7" s="10">
        <v>58</v>
      </c>
      <c r="Y7" t="s">
        <v>27</v>
      </c>
      <c r="Z7" s="10">
        <v>4</v>
      </c>
      <c r="AA7" s="10">
        <v>7</v>
      </c>
      <c r="AB7" s="10">
        <v>1</v>
      </c>
      <c r="AC7" s="10">
        <v>3</v>
      </c>
      <c r="AD7" s="10">
        <v>3</v>
      </c>
      <c r="AE7" s="10">
        <v>18</v>
      </c>
    </row>
    <row r="8" spans="2:31">
      <c r="B8" t="s">
        <v>33</v>
      </c>
      <c r="C8" s="10">
        <v>21</v>
      </c>
      <c r="E8" t="s">
        <v>34</v>
      </c>
      <c r="I8" s="10">
        <v>2</v>
      </c>
      <c r="O8" t="s">
        <v>17</v>
      </c>
      <c r="P8" s="10">
        <v>42</v>
      </c>
      <c r="Q8" s="10">
        <v>43</v>
      </c>
      <c r="R8" s="10">
        <v>42</v>
      </c>
      <c r="S8" s="10">
        <v>33</v>
      </c>
      <c r="T8" s="10">
        <v>40</v>
      </c>
      <c r="U8" s="10">
        <v>200</v>
      </c>
      <c r="Y8" t="s">
        <v>30</v>
      </c>
      <c r="Z8" s="10">
        <v>4</v>
      </c>
      <c r="AA8" s="10"/>
      <c r="AB8" s="10">
        <v>2</v>
      </c>
      <c r="AC8" s="10">
        <v>1</v>
      </c>
      <c r="AD8" s="10">
        <v>2</v>
      </c>
      <c r="AE8" s="10">
        <v>9</v>
      </c>
    </row>
    <row r="9" spans="2:31">
      <c r="B9" t="s">
        <v>35</v>
      </c>
      <c r="C9" s="10">
        <v>15</v>
      </c>
      <c r="E9" t="s">
        <v>6</v>
      </c>
      <c r="F9" s="10" t="s">
        <v>36</v>
      </c>
      <c r="L9" t="s">
        <v>37</v>
      </c>
      <c r="Y9" t="s">
        <v>33</v>
      </c>
      <c r="Z9" s="10">
        <v>4</v>
      </c>
      <c r="AA9" s="10">
        <v>4</v>
      </c>
      <c r="AB9" s="10">
        <v>5</v>
      </c>
      <c r="AC9" s="10">
        <v>3</v>
      </c>
      <c r="AD9" s="10">
        <v>5</v>
      </c>
      <c r="AE9" s="10">
        <v>21</v>
      </c>
    </row>
    <row r="10" spans="2:31">
      <c r="B10" t="s">
        <v>38</v>
      </c>
      <c r="C10" s="10">
        <v>14</v>
      </c>
      <c r="E10" t="s">
        <v>12</v>
      </c>
      <c r="F10" s="10">
        <v>42</v>
      </c>
      <c r="I10" t="s">
        <v>8</v>
      </c>
      <c r="J10" s="10" t="s">
        <v>39</v>
      </c>
      <c r="L10" t="s">
        <v>39</v>
      </c>
      <c r="M10" t="s">
        <v>8</v>
      </c>
      <c r="P10" t="s">
        <v>39</v>
      </c>
      <c r="Q10" t="s">
        <v>8</v>
      </c>
      <c r="Y10" t="s">
        <v>35</v>
      </c>
      <c r="Z10" s="10">
        <v>2</v>
      </c>
      <c r="AA10" s="10">
        <v>2</v>
      </c>
      <c r="AB10" s="10">
        <v>4</v>
      </c>
      <c r="AC10" s="10">
        <v>3</v>
      </c>
      <c r="AD10" s="10">
        <v>4</v>
      </c>
      <c r="AE10" s="10">
        <v>15</v>
      </c>
    </row>
    <row r="11" spans="2:31">
      <c r="B11" t="s">
        <v>40</v>
      </c>
      <c r="C11" s="10">
        <v>17</v>
      </c>
      <c r="E11" t="s">
        <v>13</v>
      </c>
      <c r="F11" s="10">
        <v>43</v>
      </c>
      <c r="I11" t="s">
        <v>20</v>
      </c>
      <c r="J11" s="10">
        <v>103</v>
      </c>
      <c r="K11">
        <f>GETPIVOTDATA("Gender",$I$10,"Gender","Female")</f>
        <v>103</v>
      </c>
      <c r="L11" t="s">
        <v>6</v>
      </c>
      <c r="M11" t="s">
        <v>20</v>
      </c>
      <c r="N11" t="s">
        <v>24</v>
      </c>
      <c r="P11" t="s">
        <v>6</v>
      </c>
      <c r="Q11" t="s">
        <v>20</v>
      </c>
      <c r="R11" t="s">
        <v>24</v>
      </c>
      <c r="Y11" t="s">
        <v>38</v>
      </c>
      <c r="Z11" s="10">
        <v>3</v>
      </c>
      <c r="AA11" s="10">
        <v>3</v>
      </c>
      <c r="AB11" s="10">
        <v>5</v>
      </c>
      <c r="AC11" s="10">
        <v>2</v>
      </c>
      <c r="AD11" s="10">
        <v>1</v>
      </c>
      <c r="AE11" s="10">
        <v>14</v>
      </c>
    </row>
    <row r="12" spans="2:31">
      <c r="B12" t="s">
        <v>41</v>
      </c>
      <c r="C12" s="10">
        <v>17</v>
      </c>
      <c r="E12" t="s">
        <v>14</v>
      </c>
      <c r="F12" s="10">
        <v>42</v>
      </c>
      <c r="I12" t="s">
        <v>24</v>
      </c>
      <c r="J12" s="10">
        <v>97</v>
      </c>
      <c r="K12">
        <f>GETPIVOTDATA("Gender",$I$10,"Gender","Male")</f>
        <v>97</v>
      </c>
      <c r="L12" t="s">
        <v>16</v>
      </c>
      <c r="M12" s="10">
        <v>18</v>
      </c>
      <c r="N12" s="10">
        <v>22</v>
      </c>
      <c r="P12" t="s">
        <v>12</v>
      </c>
      <c r="Q12" s="11">
        <v>0.1</v>
      </c>
      <c r="R12" s="11">
        <v>0.11</v>
      </c>
      <c r="Y12" t="s">
        <v>40</v>
      </c>
      <c r="Z12" s="10">
        <v>3</v>
      </c>
      <c r="AA12" s="10">
        <v>4</v>
      </c>
      <c r="AB12" s="10">
        <v>5</v>
      </c>
      <c r="AC12" s="10">
        <v>2</v>
      </c>
      <c r="AD12" s="10">
        <v>3</v>
      </c>
      <c r="AE12" s="10">
        <v>17</v>
      </c>
    </row>
    <row r="13" spans="2:31">
      <c r="B13" t="s">
        <v>42</v>
      </c>
      <c r="C13" s="10">
        <v>11</v>
      </c>
      <c r="E13" t="s">
        <v>15</v>
      </c>
      <c r="F13" s="10">
        <v>33</v>
      </c>
      <c r="L13" t="s">
        <v>15</v>
      </c>
      <c r="M13" s="10">
        <v>17</v>
      </c>
      <c r="N13" s="10">
        <v>16</v>
      </c>
      <c r="P13" t="s">
        <v>13</v>
      </c>
      <c r="Q13" s="11">
        <v>0.125</v>
      </c>
      <c r="R13" s="11">
        <v>0.09</v>
      </c>
      <c r="Y13" t="s">
        <v>41</v>
      </c>
      <c r="Z13" s="10">
        <v>5</v>
      </c>
      <c r="AA13" s="10">
        <v>3</v>
      </c>
      <c r="AB13" s="10">
        <v>5</v>
      </c>
      <c r="AC13" s="10"/>
      <c r="AD13" s="10">
        <v>4</v>
      </c>
      <c r="AE13" s="10">
        <v>17</v>
      </c>
    </row>
    <row r="14" spans="2:31">
      <c r="B14" t="s">
        <v>43</v>
      </c>
      <c r="C14" s="10">
        <v>16</v>
      </c>
      <c r="E14" t="s">
        <v>16</v>
      </c>
      <c r="F14" s="10">
        <v>40</v>
      </c>
      <c r="L14" t="s">
        <v>14</v>
      </c>
      <c r="M14" s="10">
        <v>23</v>
      </c>
      <c r="N14" s="10">
        <v>19</v>
      </c>
      <c r="P14" t="s">
        <v>14</v>
      </c>
      <c r="Q14" s="11">
        <v>0.115</v>
      </c>
      <c r="R14" s="11">
        <v>9.5000000000000001E-2</v>
      </c>
      <c r="Y14" t="s">
        <v>42</v>
      </c>
      <c r="Z14" s="10">
        <v>3</v>
      </c>
      <c r="AA14" s="10">
        <v>2</v>
      </c>
      <c r="AB14" s="10">
        <v>2</v>
      </c>
      <c r="AC14" s="10">
        <v>1</v>
      </c>
      <c r="AD14" s="10">
        <v>3</v>
      </c>
      <c r="AE14" s="10">
        <v>11</v>
      </c>
    </row>
    <row r="15" spans="2:31">
      <c r="B15" t="s">
        <v>44</v>
      </c>
      <c r="C15" s="10">
        <v>17</v>
      </c>
      <c r="E15" t="s">
        <v>17</v>
      </c>
      <c r="F15" s="10">
        <v>200</v>
      </c>
      <c r="I15" s="10" t="s">
        <v>45</v>
      </c>
      <c r="L15" t="s">
        <v>13</v>
      </c>
      <c r="M15" s="10">
        <v>25</v>
      </c>
      <c r="N15" s="10">
        <v>18</v>
      </c>
      <c r="P15" t="s">
        <v>15</v>
      </c>
      <c r="Q15" s="11">
        <v>8.5000000000000006E-2</v>
      </c>
      <c r="R15" s="11">
        <v>0.08</v>
      </c>
      <c r="Y15" t="s">
        <v>43</v>
      </c>
      <c r="Z15" s="10">
        <v>4</v>
      </c>
      <c r="AA15" s="10">
        <v>4</v>
      </c>
      <c r="AB15" s="10">
        <v>1</v>
      </c>
      <c r="AC15" s="10">
        <v>4</v>
      </c>
      <c r="AD15" s="10">
        <v>3</v>
      </c>
      <c r="AE15" s="10">
        <v>16</v>
      </c>
    </row>
    <row r="16" spans="2:31">
      <c r="B16" t="s">
        <v>46</v>
      </c>
      <c r="C16" s="10">
        <v>11</v>
      </c>
      <c r="I16" s="12">
        <v>51048968</v>
      </c>
      <c r="L16" t="s">
        <v>12</v>
      </c>
      <c r="M16" s="10">
        <v>20</v>
      </c>
      <c r="N16" s="10">
        <v>22</v>
      </c>
      <c r="P16" t="s">
        <v>16</v>
      </c>
      <c r="Q16" s="11">
        <v>0.09</v>
      </c>
      <c r="R16" s="11">
        <v>0.11</v>
      </c>
      <c r="Y16" t="s">
        <v>44</v>
      </c>
      <c r="Z16" s="10">
        <v>3</v>
      </c>
      <c r="AA16" s="10">
        <v>4</v>
      </c>
      <c r="AB16" s="10">
        <v>3</v>
      </c>
      <c r="AC16" s="10">
        <v>5</v>
      </c>
      <c r="AD16" s="10">
        <v>2</v>
      </c>
      <c r="AE16" s="10">
        <v>17</v>
      </c>
    </row>
    <row r="17" spans="2:42">
      <c r="B17" t="s">
        <v>17</v>
      </c>
      <c r="C17" s="10">
        <v>200</v>
      </c>
      <c r="E17" t="s">
        <v>47</v>
      </c>
      <c r="I17" s="12">
        <f>GETPIVOTDATA("Treatment_Cost",$I$15)</f>
        <v>51048968</v>
      </c>
      <c r="Y17" t="s">
        <v>46</v>
      </c>
      <c r="Z17" s="10">
        <v>2</v>
      </c>
      <c r="AA17" s="10">
        <v>5</v>
      </c>
      <c r="AB17" s="10">
        <v>2</v>
      </c>
      <c r="AC17" s="10">
        <v>2</v>
      </c>
      <c r="AD17" s="10"/>
      <c r="AE17" s="10">
        <v>11</v>
      </c>
    </row>
    <row r="18" spans="2:42">
      <c r="C18"/>
      <c r="E18" t="s">
        <v>6</v>
      </c>
      <c r="F18" s="10" t="s">
        <v>48</v>
      </c>
      <c r="S18" t="s">
        <v>49</v>
      </c>
      <c r="T18" t="s">
        <v>50</v>
      </c>
      <c r="Y18" t="s">
        <v>17</v>
      </c>
      <c r="Z18" s="10">
        <v>42</v>
      </c>
      <c r="AA18" s="10">
        <v>43</v>
      </c>
      <c r="AB18" s="10">
        <v>42</v>
      </c>
      <c r="AC18" s="10">
        <v>33</v>
      </c>
      <c r="AD18" s="10">
        <v>40</v>
      </c>
      <c r="AE18" s="10">
        <v>200</v>
      </c>
    </row>
    <row r="19" spans="2:42">
      <c r="C19"/>
      <c r="E19" t="s">
        <v>12</v>
      </c>
      <c r="F19" s="12">
        <v>266218.54761904798</v>
      </c>
      <c r="I19" s="10" t="s">
        <v>51</v>
      </c>
      <c r="O19" t="s">
        <v>52</v>
      </c>
      <c r="S19" t="s">
        <v>6</v>
      </c>
      <c r="T19" t="s">
        <v>53</v>
      </c>
      <c r="U19" t="s">
        <v>54</v>
      </c>
      <c r="V19" t="s">
        <v>17</v>
      </c>
    </row>
    <row r="20" spans="2:42">
      <c r="B20" t="s">
        <v>6</v>
      </c>
      <c r="C20" s="10" t="s">
        <v>45</v>
      </c>
      <c r="E20" t="s">
        <v>13</v>
      </c>
      <c r="F20" s="12">
        <v>242044.65116279101</v>
      </c>
      <c r="I20" s="10">
        <v>7.1105527638190997</v>
      </c>
      <c r="O20" t="s">
        <v>3</v>
      </c>
      <c r="P20" s="10" t="s">
        <v>48</v>
      </c>
      <c r="S20" t="s">
        <v>16</v>
      </c>
      <c r="T20" s="10">
        <v>8</v>
      </c>
      <c r="U20" s="10">
        <v>32</v>
      </c>
      <c r="V20" s="10">
        <v>40</v>
      </c>
      <c r="AD20" t="s">
        <v>39</v>
      </c>
      <c r="AE20" t="s">
        <v>8</v>
      </c>
    </row>
    <row r="21" spans="2:42">
      <c r="B21" t="s">
        <v>12</v>
      </c>
      <c r="C21" s="12">
        <v>11181179</v>
      </c>
      <c r="E21" t="s">
        <v>14</v>
      </c>
      <c r="F21" s="12">
        <v>249582.95238095199</v>
      </c>
      <c r="I21">
        <f>GETPIVOTDATA("Length_of_Stay",$I$19)</f>
        <v>7.1105527638190997</v>
      </c>
      <c r="O21" t="s">
        <v>10</v>
      </c>
      <c r="P21" s="12">
        <v>283843.66037735902</v>
      </c>
      <c r="S21" t="s">
        <v>15</v>
      </c>
      <c r="T21" s="10">
        <v>3</v>
      </c>
      <c r="U21" s="10">
        <v>30</v>
      </c>
      <c r="V21" s="10">
        <v>33</v>
      </c>
      <c r="AD21" t="s">
        <v>11</v>
      </c>
      <c r="AE21" t="s">
        <v>20</v>
      </c>
      <c r="AF21" t="s">
        <v>24</v>
      </c>
      <c r="AG21" t="s">
        <v>17</v>
      </c>
    </row>
    <row r="22" spans="2:42">
      <c r="B22" t="s">
        <v>13</v>
      </c>
      <c r="C22" s="12">
        <v>10407920</v>
      </c>
      <c r="E22" t="s">
        <v>15</v>
      </c>
      <c r="F22" s="12">
        <v>261673.21212121201</v>
      </c>
      <c r="O22" t="s">
        <v>21</v>
      </c>
      <c r="P22" s="12">
        <v>240922.66037735899</v>
      </c>
      <c r="S22" t="s">
        <v>14</v>
      </c>
      <c r="T22" s="10">
        <v>3</v>
      </c>
      <c r="U22" s="10">
        <v>39</v>
      </c>
      <c r="V22" s="10">
        <v>42</v>
      </c>
      <c r="AD22" t="s">
        <v>22</v>
      </c>
      <c r="AE22" s="11">
        <v>0.47826086956521702</v>
      </c>
      <c r="AF22" s="11">
        <v>0.52173913043478304</v>
      </c>
      <c r="AG22" s="11">
        <v>1</v>
      </c>
    </row>
    <row r="23" spans="2:42">
      <c r="B23" t="s">
        <v>14</v>
      </c>
      <c r="C23" s="12">
        <v>10482484</v>
      </c>
      <c r="E23" t="s">
        <v>16</v>
      </c>
      <c r="F23" s="12">
        <v>258554.22500000001</v>
      </c>
      <c r="I23" t="s">
        <v>55</v>
      </c>
      <c r="O23" t="s">
        <v>25</v>
      </c>
      <c r="P23" s="12">
        <v>251030.531914894</v>
      </c>
      <c r="S23" t="s">
        <v>13</v>
      </c>
      <c r="T23" s="10">
        <v>6</v>
      </c>
      <c r="U23" s="10">
        <v>37</v>
      </c>
      <c r="V23" s="10">
        <v>43</v>
      </c>
      <c r="AD23" t="s">
        <v>26</v>
      </c>
      <c r="AE23" s="11">
        <v>0.47727272727272702</v>
      </c>
      <c r="AF23" s="11">
        <v>0.52272727272727304</v>
      </c>
      <c r="AG23" s="11">
        <v>1</v>
      </c>
      <c r="AP23" s="10"/>
    </row>
    <row r="24" spans="2:42">
      <c r="B24" t="s">
        <v>15</v>
      </c>
      <c r="C24" s="12">
        <v>8635216</v>
      </c>
      <c r="E24" t="s">
        <v>17</v>
      </c>
      <c r="F24" s="12">
        <v>255244.84</v>
      </c>
      <c r="G24" s="12">
        <f>GETPIVOTDATA("Treatment_Cost",$E$18)</f>
        <v>255244.84</v>
      </c>
      <c r="I24" t="s">
        <v>50</v>
      </c>
      <c r="J24" s="10" t="s">
        <v>49</v>
      </c>
      <c r="O24" t="s">
        <v>28</v>
      </c>
      <c r="P24" s="12">
        <v>243359.95744680901</v>
      </c>
      <c r="S24" t="s">
        <v>12</v>
      </c>
      <c r="T24" s="10">
        <v>4</v>
      </c>
      <c r="U24" s="10">
        <v>38</v>
      </c>
      <c r="V24" s="10">
        <v>42</v>
      </c>
      <c r="AD24" t="s">
        <v>29</v>
      </c>
      <c r="AE24" s="11">
        <v>0.38461538461538503</v>
      </c>
      <c r="AF24" s="11">
        <v>0.61538461538461497</v>
      </c>
      <c r="AG24" s="11">
        <v>1</v>
      </c>
      <c r="AP24" s="12"/>
    </row>
    <row r="25" spans="2:42">
      <c r="B25" t="s">
        <v>16</v>
      </c>
      <c r="C25" s="12">
        <v>10342169</v>
      </c>
      <c r="I25" t="s">
        <v>53</v>
      </c>
      <c r="J25" s="13">
        <v>0.12</v>
      </c>
      <c r="K25">
        <f>GETPIVOTDATA("Outcome",$I$24,"Outcome","Death")</f>
        <v>0.12</v>
      </c>
      <c r="O25" t="s">
        <v>17</v>
      </c>
      <c r="P25" s="12">
        <v>255244.84</v>
      </c>
      <c r="S25" t="s">
        <v>17</v>
      </c>
      <c r="T25" s="10">
        <v>24</v>
      </c>
      <c r="U25" s="10">
        <v>176</v>
      </c>
      <c r="V25" s="10">
        <v>200</v>
      </c>
      <c r="AD25" t="s">
        <v>32</v>
      </c>
      <c r="AE25" s="11">
        <v>0.68965517241379304</v>
      </c>
      <c r="AF25" s="11">
        <v>0.31034482758620702</v>
      </c>
      <c r="AG25" s="11">
        <v>1</v>
      </c>
      <c r="AP25" s="12"/>
    </row>
    <row r="26" spans="2:42">
      <c r="B26" t="s">
        <v>17</v>
      </c>
      <c r="C26" s="12">
        <v>51048968</v>
      </c>
      <c r="E26" t="s">
        <v>56</v>
      </c>
      <c r="I26" t="s">
        <v>54</v>
      </c>
      <c r="J26" s="13">
        <v>0.88</v>
      </c>
      <c r="K26">
        <f>GETPIVOTDATA("Outcome",$I$24,"Outcome","Recovered")</f>
        <v>0.88</v>
      </c>
      <c r="AD26" t="s">
        <v>17</v>
      </c>
      <c r="AE26" s="11">
        <v>0.51500000000000001</v>
      </c>
      <c r="AF26" s="11">
        <v>0.48499999999999999</v>
      </c>
      <c r="AG26" s="11">
        <v>1</v>
      </c>
      <c r="AP26" s="12"/>
    </row>
    <row r="27" spans="2:42">
      <c r="C27"/>
      <c r="E27" t="s">
        <v>57</v>
      </c>
      <c r="F27" s="10" t="s">
        <v>58</v>
      </c>
      <c r="I27" t="s">
        <v>17</v>
      </c>
      <c r="J27" s="13">
        <v>1</v>
      </c>
      <c r="P27" t="s">
        <v>59</v>
      </c>
      <c r="AF27" s="9"/>
      <c r="AP27" s="12"/>
    </row>
    <row r="28" spans="2:42">
      <c r="B28" t="s">
        <v>60</v>
      </c>
      <c r="E28" t="s">
        <v>61</v>
      </c>
      <c r="F28" s="10">
        <v>32</v>
      </c>
      <c r="P28" t="s">
        <v>49</v>
      </c>
      <c r="Q28" t="s">
        <v>50</v>
      </c>
      <c r="AP28" s="12"/>
    </row>
    <row r="29" spans="2:42">
      <c r="B29" t="s">
        <v>7</v>
      </c>
      <c r="C29" s="10" t="s">
        <v>45</v>
      </c>
      <c r="E29" t="s">
        <v>62</v>
      </c>
      <c r="F29" s="10">
        <v>45</v>
      </c>
      <c r="P29" t="s">
        <v>11</v>
      </c>
      <c r="Q29" t="s">
        <v>53</v>
      </c>
      <c r="R29" t="s">
        <v>54</v>
      </c>
      <c r="S29" t="s">
        <v>17</v>
      </c>
      <c r="Y29" t="s">
        <v>49</v>
      </c>
      <c r="Z29" t="s">
        <v>50</v>
      </c>
      <c r="AD29" t="s">
        <v>18</v>
      </c>
      <c r="AE29" t="s">
        <v>6</v>
      </c>
      <c r="AP29" s="12"/>
    </row>
    <row r="30" spans="2:42">
      <c r="B30" t="s">
        <v>19</v>
      </c>
      <c r="C30" s="12">
        <v>3685803</v>
      </c>
      <c r="E30" t="s">
        <v>63</v>
      </c>
      <c r="F30" s="10">
        <v>35</v>
      </c>
      <c r="H30" t="s">
        <v>64</v>
      </c>
      <c r="P30" t="s">
        <v>22</v>
      </c>
      <c r="Q30" s="11">
        <v>1.4999999999999999E-2</v>
      </c>
      <c r="R30" s="11">
        <v>0.215</v>
      </c>
      <c r="S30" s="11">
        <v>0.23</v>
      </c>
      <c r="Y30" t="s">
        <v>6</v>
      </c>
      <c r="Z30" t="s">
        <v>53</v>
      </c>
      <c r="AA30" t="s">
        <v>54</v>
      </c>
      <c r="AB30" t="s">
        <v>17</v>
      </c>
      <c r="AD30" t="s">
        <v>11</v>
      </c>
      <c r="AE30" t="s">
        <v>12</v>
      </c>
      <c r="AF30" t="s">
        <v>13</v>
      </c>
      <c r="AG30" t="s">
        <v>14</v>
      </c>
      <c r="AH30" t="s">
        <v>15</v>
      </c>
      <c r="AI30" t="s">
        <v>16</v>
      </c>
      <c r="AJ30" t="s">
        <v>17</v>
      </c>
      <c r="AP30" s="12"/>
    </row>
    <row r="31" spans="2:42">
      <c r="B31" t="s">
        <v>23</v>
      </c>
      <c r="C31" s="12">
        <v>4585903</v>
      </c>
      <c r="E31" t="s">
        <v>65</v>
      </c>
      <c r="F31" s="10">
        <v>27</v>
      </c>
      <c r="H31" t="s">
        <v>49</v>
      </c>
      <c r="I31" t="s">
        <v>8</v>
      </c>
      <c r="P31" t="s">
        <v>26</v>
      </c>
      <c r="Q31" s="11">
        <v>4.4999999999999998E-2</v>
      </c>
      <c r="R31" s="11">
        <v>0.17499999999999999</v>
      </c>
      <c r="S31" s="11">
        <v>0.22</v>
      </c>
      <c r="Y31" t="s">
        <v>12</v>
      </c>
      <c r="Z31" s="11">
        <v>9.5238095238095205E-2</v>
      </c>
      <c r="AA31" s="11">
        <v>0.90476190476190499</v>
      </c>
      <c r="AB31" s="11">
        <v>1</v>
      </c>
      <c r="AD31" t="s">
        <v>22</v>
      </c>
      <c r="AE31" s="10">
        <v>11</v>
      </c>
      <c r="AF31" s="10">
        <v>10</v>
      </c>
      <c r="AG31" s="10">
        <v>9</v>
      </c>
      <c r="AH31" s="10">
        <v>9</v>
      </c>
      <c r="AI31" s="10">
        <v>7</v>
      </c>
      <c r="AJ31" s="10">
        <v>46</v>
      </c>
      <c r="AP31" s="12"/>
    </row>
    <row r="32" spans="2:42">
      <c r="B32" t="s">
        <v>27</v>
      </c>
      <c r="C32" s="12">
        <v>4956161</v>
      </c>
      <c r="E32" t="s">
        <v>66</v>
      </c>
      <c r="F32" s="10">
        <v>26</v>
      </c>
      <c r="H32" t="s">
        <v>50</v>
      </c>
      <c r="I32" t="s">
        <v>20</v>
      </c>
      <c r="J32" t="s">
        <v>24</v>
      </c>
      <c r="K32" t="s">
        <v>17</v>
      </c>
      <c r="P32" t="s">
        <v>29</v>
      </c>
      <c r="Q32" s="11">
        <v>3.5000000000000003E-2</v>
      </c>
      <c r="R32" s="11">
        <v>0.22500000000000001</v>
      </c>
      <c r="S32" s="11">
        <v>0.26</v>
      </c>
      <c r="Y32" t="s">
        <v>13</v>
      </c>
      <c r="Z32" s="11">
        <v>0.13953488372093001</v>
      </c>
      <c r="AA32" s="11">
        <v>0.86046511627906996</v>
      </c>
      <c r="AB32" s="11">
        <v>1</v>
      </c>
      <c r="AD32" t="s">
        <v>26</v>
      </c>
      <c r="AE32" s="10">
        <v>6</v>
      </c>
      <c r="AF32" s="10">
        <v>13</v>
      </c>
      <c r="AG32" s="10">
        <v>12</v>
      </c>
      <c r="AH32" s="10">
        <v>5</v>
      </c>
      <c r="AI32" s="10">
        <v>8</v>
      </c>
      <c r="AJ32" s="10">
        <v>44</v>
      </c>
      <c r="AP32" s="12"/>
    </row>
    <row r="33" spans="2:42">
      <c r="B33" t="s">
        <v>30</v>
      </c>
      <c r="C33" s="12">
        <v>2514195</v>
      </c>
      <c r="E33" t="s">
        <v>67</v>
      </c>
      <c r="F33" s="10">
        <v>35</v>
      </c>
      <c r="H33" t="s">
        <v>53</v>
      </c>
      <c r="I33" s="10">
        <v>12</v>
      </c>
      <c r="J33" s="10">
        <v>12</v>
      </c>
      <c r="K33" s="10">
        <v>24</v>
      </c>
      <c r="P33" t="s">
        <v>32</v>
      </c>
      <c r="Q33" s="11">
        <v>2.5000000000000001E-2</v>
      </c>
      <c r="R33" s="11">
        <v>0.26500000000000001</v>
      </c>
      <c r="S33" s="11">
        <v>0.28999999999999998</v>
      </c>
      <c r="Y33" t="s">
        <v>14</v>
      </c>
      <c r="Z33" s="11">
        <v>7.1428571428571397E-2</v>
      </c>
      <c r="AA33" s="11">
        <v>0.92857142857142905</v>
      </c>
      <c r="AB33" s="11">
        <v>1</v>
      </c>
      <c r="AD33" t="s">
        <v>29</v>
      </c>
      <c r="AE33" s="10">
        <v>13</v>
      </c>
      <c r="AF33" s="10">
        <v>9</v>
      </c>
      <c r="AG33" s="10">
        <v>10</v>
      </c>
      <c r="AH33" s="10">
        <v>10</v>
      </c>
      <c r="AI33" s="10">
        <v>10</v>
      </c>
      <c r="AJ33" s="10">
        <v>52</v>
      </c>
      <c r="AP33" s="12"/>
    </row>
    <row r="34" spans="2:42">
      <c r="B34" t="s">
        <v>33</v>
      </c>
      <c r="C34" s="12">
        <v>5294026</v>
      </c>
      <c r="E34" t="s">
        <v>17</v>
      </c>
      <c r="F34" s="10">
        <v>200</v>
      </c>
      <c r="H34" t="s">
        <v>54</v>
      </c>
      <c r="I34" s="10">
        <v>91</v>
      </c>
      <c r="J34" s="10">
        <v>85</v>
      </c>
      <c r="K34" s="10">
        <v>176</v>
      </c>
      <c r="M34" t="s">
        <v>68</v>
      </c>
      <c r="P34" t="s">
        <v>17</v>
      </c>
      <c r="Q34" s="11">
        <v>0.12</v>
      </c>
      <c r="R34" s="11">
        <v>0.88</v>
      </c>
      <c r="S34" s="11">
        <v>1</v>
      </c>
      <c r="Y34" t="s">
        <v>15</v>
      </c>
      <c r="Z34" s="11">
        <v>9.0909090909090898E-2</v>
      </c>
      <c r="AA34" s="11">
        <v>0.90909090909090895</v>
      </c>
      <c r="AB34" s="11">
        <v>1</v>
      </c>
      <c r="AD34" t="s">
        <v>32</v>
      </c>
      <c r="AE34" s="10">
        <v>12</v>
      </c>
      <c r="AF34" s="10">
        <v>11</v>
      </c>
      <c r="AG34" s="10">
        <v>11</v>
      </c>
      <c r="AH34" s="10">
        <v>9</v>
      </c>
      <c r="AI34" s="10">
        <v>15</v>
      </c>
      <c r="AJ34" s="10">
        <v>58</v>
      </c>
      <c r="AP34" s="12"/>
    </row>
    <row r="35" spans="2:42">
      <c r="B35" t="s">
        <v>35</v>
      </c>
      <c r="C35" s="12">
        <v>3588791</v>
      </c>
      <c r="H35" t="s">
        <v>17</v>
      </c>
      <c r="I35" s="10">
        <v>103</v>
      </c>
      <c r="J35" s="10">
        <v>97</v>
      </c>
      <c r="K35" s="10">
        <v>200</v>
      </c>
      <c r="M35" t="s">
        <v>69</v>
      </c>
      <c r="N35" s="10" t="s">
        <v>45</v>
      </c>
      <c r="Y35" t="s">
        <v>16</v>
      </c>
      <c r="Z35" s="11">
        <v>0.2</v>
      </c>
      <c r="AA35" s="11">
        <v>0.8</v>
      </c>
      <c r="AB35" s="11">
        <v>1</v>
      </c>
      <c r="AD35" t="s">
        <v>17</v>
      </c>
      <c r="AE35" s="10">
        <v>42</v>
      </c>
      <c r="AF35" s="10">
        <v>43</v>
      </c>
      <c r="AG35" s="10">
        <v>42</v>
      </c>
      <c r="AH35" s="10">
        <v>33</v>
      </c>
      <c r="AI35" s="10">
        <v>40</v>
      </c>
      <c r="AJ35" s="10">
        <v>200</v>
      </c>
      <c r="AP35" s="12"/>
    </row>
    <row r="36" spans="2:42">
      <c r="B36" t="s">
        <v>38</v>
      </c>
      <c r="C36" s="12">
        <v>3943680</v>
      </c>
      <c r="E36" t="s">
        <v>70</v>
      </c>
      <c r="M36" t="s">
        <v>71</v>
      </c>
      <c r="N36" s="12">
        <v>9604341</v>
      </c>
      <c r="Y36" t="s">
        <v>17</v>
      </c>
      <c r="Z36" s="11">
        <v>0.12</v>
      </c>
      <c r="AA36" s="11">
        <v>0.88</v>
      </c>
      <c r="AB36" s="11">
        <v>1</v>
      </c>
    </row>
    <row r="37" spans="2:42">
      <c r="B37" t="s">
        <v>40</v>
      </c>
      <c r="C37" s="12">
        <v>3939199</v>
      </c>
      <c r="E37" t="s">
        <v>57</v>
      </c>
      <c r="F37" s="10" t="s">
        <v>72</v>
      </c>
      <c r="M37" t="s">
        <v>73</v>
      </c>
      <c r="N37" s="12">
        <v>4677827</v>
      </c>
    </row>
    <row r="38" spans="2:42">
      <c r="B38" t="s">
        <v>41</v>
      </c>
      <c r="C38" s="12">
        <v>4080406</v>
      </c>
      <c r="E38" t="s">
        <v>61</v>
      </c>
      <c r="F38" s="12">
        <v>8334007</v>
      </c>
      <c r="M38" t="s">
        <v>74</v>
      </c>
      <c r="N38" s="12">
        <v>8311149</v>
      </c>
    </row>
    <row r="39" spans="2:42">
      <c r="B39" t="s">
        <v>42</v>
      </c>
      <c r="C39" s="12">
        <v>2871873</v>
      </c>
      <c r="E39" t="s">
        <v>62</v>
      </c>
      <c r="F39" s="12">
        <v>12451712</v>
      </c>
      <c r="M39" t="s">
        <v>75</v>
      </c>
      <c r="N39" s="12">
        <v>6376558</v>
      </c>
    </row>
    <row r="40" spans="2:42">
      <c r="B40" t="s">
        <v>43</v>
      </c>
      <c r="C40" s="12">
        <v>4658625</v>
      </c>
      <c r="E40" t="s">
        <v>63</v>
      </c>
      <c r="F40" s="12">
        <v>8744972</v>
      </c>
      <c r="M40" t="s">
        <v>76</v>
      </c>
      <c r="N40" s="12">
        <v>7407585</v>
      </c>
    </row>
    <row r="41" spans="2:42">
      <c r="B41" t="s">
        <v>44</v>
      </c>
      <c r="C41" s="12">
        <v>3575793</v>
      </c>
      <c r="E41" t="s">
        <v>65</v>
      </c>
      <c r="F41" s="12">
        <v>7218359</v>
      </c>
      <c r="M41" t="s">
        <v>77</v>
      </c>
      <c r="N41" s="12">
        <v>6659038</v>
      </c>
    </row>
    <row r="42" spans="2:42">
      <c r="B42" t="s">
        <v>46</v>
      </c>
      <c r="C42" s="12">
        <v>3354513</v>
      </c>
      <c r="E42" t="s">
        <v>66</v>
      </c>
      <c r="F42" s="12">
        <v>6038056</v>
      </c>
      <c r="M42" t="s">
        <v>78</v>
      </c>
      <c r="N42" s="12">
        <v>7645609</v>
      </c>
    </row>
    <row r="43" spans="2:42">
      <c r="B43" t="s">
        <v>17</v>
      </c>
      <c r="C43" s="12">
        <v>51048968</v>
      </c>
      <c r="E43" t="s">
        <v>67</v>
      </c>
      <c r="F43" s="12">
        <v>8261862</v>
      </c>
      <c r="M43" t="s">
        <v>79</v>
      </c>
      <c r="N43" s="12">
        <v>366861</v>
      </c>
    </row>
    <row r="44" spans="2:42">
      <c r="C44"/>
      <c r="E44" t="s">
        <v>17</v>
      </c>
      <c r="F44" s="12">
        <v>51048968</v>
      </c>
      <c r="M44" t="s">
        <v>17</v>
      </c>
      <c r="N44" s="12">
        <v>51048968</v>
      </c>
    </row>
    <row r="45" spans="2:42">
      <c r="C45"/>
    </row>
    <row r="46" spans="2:42">
      <c r="C46"/>
      <c r="J46" s="10"/>
      <c r="M46" t="s">
        <v>80</v>
      </c>
      <c r="O46" s="10"/>
    </row>
    <row r="47" spans="2:42">
      <c r="B47" t="s">
        <v>49</v>
      </c>
      <c r="C47" t="s">
        <v>50</v>
      </c>
      <c r="J47" s="10"/>
      <c r="M47" t="s">
        <v>49</v>
      </c>
      <c r="N47" t="s">
        <v>50</v>
      </c>
    </row>
    <row r="48" spans="2:42">
      <c r="B48" t="s">
        <v>7</v>
      </c>
      <c r="C48" t="s">
        <v>53</v>
      </c>
      <c r="D48" t="s">
        <v>54</v>
      </c>
      <c r="E48" t="s">
        <v>17</v>
      </c>
      <c r="J48" s="10"/>
      <c r="M48" t="s">
        <v>11</v>
      </c>
      <c r="N48" t="s">
        <v>53</v>
      </c>
      <c r="O48" t="s">
        <v>54</v>
      </c>
      <c r="P48" t="s">
        <v>17</v>
      </c>
    </row>
    <row r="49" spans="2:19">
      <c r="B49" t="s">
        <v>19</v>
      </c>
      <c r="C49" s="10">
        <v>1</v>
      </c>
      <c r="D49" s="10">
        <v>16</v>
      </c>
      <c r="E49" s="10">
        <v>17</v>
      </c>
      <c r="J49" s="10"/>
      <c r="M49" t="s">
        <v>22</v>
      </c>
      <c r="N49" s="10">
        <v>3</v>
      </c>
      <c r="O49" s="10">
        <v>43</v>
      </c>
      <c r="P49" s="10">
        <v>46</v>
      </c>
    </row>
    <row r="50" spans="2:19">
      <c r="B50" t="s">
        <v>23</v>
      </c>
      <c r="D50" s="10">
        <v>17</v>
      </c>
      <c r="E50" s="10">
        <v>17</v>
      </c>
      <c r="J50" s="10"/>
      <c r="M50" t="s">
        <v>26</v>
      </c>
      <c r="N50" s="10">
        <v>9</v>
      </c>
      <c r="O50" s="10">
        <v>35</v>
      </c>
      <c r="P50" s="10">
        <v>44</v>
      </c>
    </row>
    <row r="51" spans="2:19">
      <c r="B51" t="s">
        <v>27</v>
      </c>
      <c r="D51" s="10">
        <v>18</v>
      </c>
      <c r="E51" s="10">
        <v>18</v>
      </c>
      <c r="J51" s="10"/>
      <c r="M51" t="s">
        <v>29</v>
      </c>
      <c r="N51" s="10">
        <v>7</v>
      </c>
      <c r="O51" s="10">
        <v>45</v>
      </c>
      <c r="P51" s="10">
        <v>52</v>
      </c>
    </row>
    <row r="52" spans="2:19">
      <c r="B52" t="s">
        <v>30</v>
      </c>
      <c r="D52" s="10">
        <v>9</v>
      </c>
      <c r="E52" s="10">
        <v>9</v>
      </c>
      <c r="J52" s="10"/>
      <c r="M52" t="s">
        <v>32</v>
      </c>
      <c r="N52" s="10">
        <v>5</v>
      </c>
      <c r="O52" s="10">
        <v>53</v>
      </c>
      <c r="P52" s="10">
        <v>58</v>
      </c>
    </row>
    <row r="53" spans="2:19">
      <c r="B53" t="s">
        <v>33</v>
      </c>
      <c r="C53" s="10">
        <v>3</v>
      </c>
      <c r="D53" s="10">
        <v>18</v>
      </c>
      <c r="E53" s="10">
        <v>21</v>
      </c>
      <c r="J53" s="10"/>
      <c r="M53" t="s">
        <v>17</v>
      </c>
      <c r="N53" s="10">
        <v>24</v>
      </c>
      <c r="O53" s="10">
        <v>176</v>
      </c>
      <c r="P53" s="10">
        <v>200</v>
      </c>
    </row>
    <row r="54" spans="2:19">
      <c r="B54" t="s">
        <v>35</v>
      </c>
      <c r="C54" s="10">
        <v>1</v>
      </c>
      <c r="D54" s="10">
        <v>14</v>
      </c>
      <c r="E54" s="10">
        <v>15</v>
      </c>
      <c r="J54" s="10"/>
    </row>
    <row r="55" spans="2:19">
      <c r="B55" t="s">
        <v>38</v>
      </c>
      <c r="C55" s="10">
        <v>2</v>
      </c>
      <c r="D55" s="10">
        <v>12</v>
      </c>
      <c r="E55" s="10">
        <v>14</v>
      </c>
      <c r="J55" s="10"/>
      <c r="M55" t="s">
        <v>81</v>
      </c>
      <c r="R55" s="10"/>
    </row>
    <row r="56" spans="2:19">
      <c r="B56" t="s">
        <v>40</v>
      </c>
      <c r="C56" s="10">
        <v>6</v>
      </c>
      <c r="D56" s="10">
        <v>11</v>
      </c>
      <c r="E56" s="10">
        <v>17</v>
      </c>
      <c r="M56" t="s">
        <v>18</v>
      </c>
      <c r="N56" t="s">
        <v>6</v>
      </c>
    </row>
    <row r="57" spans="2:19">
      <c r="B57" t="s">
        <v>41</v>
      </c>
      <c r="C57" s="10">
        <v>3</v>
      </c>
      <c r="D57" s="10">
        <v>14</v>
      </c>
      <c r="E57" s="10">
        <v>17</v>
      </c>
      <c r="M57" t="s">
        <v>57</v>
      </c>
      <c r="N57" t="s">
        <v>12</v>
      </c>
      <c r="O57" t="s">
        <v>13</v>
      </c>
      <c r="P57" t="s">
        <v>14</v>
      </c>
      <c r="Q57" t="s">
        <v>15</v>
      </c>
      <c r="R57" t="s">
        <v>16</v>
      </c>
      <c r="S57" t="s">
        <v>17</v>
      </c>
    </row>
    <row r="58" spans="2:19">
      <c r="B58" t="s">
        <v>42</v>
      </c>
      <c r="C58" s="10">
        <v>3</v>
      </c>
      <c r="D58" s="10">
        <v>8</v>
      </c>
      <c r="E58" s="10">
        <v>11</v>
      </c>
      <c r="M58" t="s">
        <v>61</v>
      </c>
      <c r="N58" s="9">
        <v>8</v>
      </c>
      <c r="O58" s="9">
        <v>8</v>
      </c>
      <c r="P58" s="9">
        <v>5</v>
      </c>
      <c r="Q58" s="9">
        <v>6</v>
      </c>
      <c r="R58" s="9">
        <v>5</v>
      </c>
      <c r="S58" s="9">
        <v>32</v>
      </c>
    </row>
    <row r="59" spans="2:19">
      <c r="B59" t="s">
        <v>43</v>
      </c>
      <c r="C59" s="10">
        <v>2</v>
      </c>
      <c r="D59" s="10">
        <v>14</v>
      </c>
      <c r="E59" s="10">
        <v>16</v>
      </c>
      <c r="M59" t="s">
        <v>62</v>
      </c>
      <c r="N59" s="9">
        <v>11</v>
      </c>
      <c r="O59" s="9">
        <v>11</v>
      </c>
      <c r="P59" s="9">
        <v>8</v>
      </c>
      <c r="Q59" s="9">
        <v>7</v>
      </c>
      <c r="R59" s="9">
        <v>8</v>
      </c>
      <c r="S59" s="9">
        <v>45</v>
      </c>
    </row>
    <row r="60" spans="2:19">
      <c r="B60" t="s">
        <v>44</v>
      </c>
      <c r="C60" s="10">
        <v>2</v>
      </c>
      <c r="D60" s="10">
        <v>15</v>
      </c>
      <c r="E60" s="10">
        <v>17</v>
      </c>
      <c r="M60" t="s">
        <v>63</v>
      </c>
      <c r="N60" s="9">
        <v>7</v>
      </c>
      <c r="O60" s="9">
        <v>9</v>
      </c>
      <c r="P60" s="9">
        <v>8</v>
      </c>
      <c r="Q60" s="9">
        <v>8</v>
      </c>
      <c r="R60" s="9">
        <v>3</v>
      </c>
      <c r="S60" s="9">
        <v>35</v>
      </c>
    </row>
    <row r="61" spans="2:19">
      <c r="B61" t="s">
        <v>46</v>
      </c>
      <c r="C61" s="10">
        <v>1</v>
      </c>
      <c r="D61" s="10">
        <v>10</v>
      </c>
      <c r="E61" s="10">
        <v>11</v>
      </c>
      <c r="M61" t="s">
        <v>65</v>
      </c>
      <c r="N61" s="9">
        <v>7</v>
      </c>
      <c r="O61" s="9">
        <v>4</v>
      </c>
      <c r="P61" s="9">
        <v>4</v>
      </c>
      <c r="Q61" s="9">
        <v>3</v>
      </c>
      <c r="R61" s="9">
        <v>9</v>
      </c>
      <c r="S61" s="9">
        <v>27</v>
      </c>
    </row>
    <row r="62" spans="2:19">
      <c r="B62" t="s">
        <v>17</v>
      </c>
      <c r="C62" s="10">
        <v>24</v>
      </c>
      <c r="D62" s="10">
        <v>176</v>
      </c>
      <c r="E62" s="10">
        <v>200</v>
      </c>
      <c r="M62" t="s">
        <v>66</v>
      </c>
      <c r="N62" s="9">
        <v>4</v>
      </c>
      <c r="O62" s="9">
        <v>5</v>
      </c>
      <c r="P62" s="9">
        <v>7</v>
      </c>
      <c r="Q62" s="9">
        <v>5</v>
      </c>
      <c r="R62" s="9">
        <v>5</v>
      </c>
      <c r="S62" s="9">
        <v>26</v>
      </c>
    </row>
    <row r="63" spans="2:19">
      <c r="C63"/>
      <c r="M63" t="s">
        <v>67</v>
      </c>
      <c r="N63" s="9">
        <v>5</v>
      </c>
      <c r="O63" s="9">
        <v>6</v>
      </c>
      <c r="P63" s="9">
        <v>10</v>
      </c>
      <c r="Q63" s="9">
        <v>4</v>
      </c>
      <c r="R63" s="9">
        <v>10</v>
      </c>
      <c r="S63" s="9">
        <v>35</v>
      </c>
    </row>
    <row r="64" spans="2:19">
      <c r="C64"/>
      <c r="M64" t="s">
        <v>17</v>
      </c>
      <c r="N64" s="9">
        <v>42</v>
      </c>
      <c r="O64" s="9">
        <v>43</v>
      </c>
      <c r="P64" s="9">
        <v>42</v>
      </c>
      <c r="Q64" s="9">
        <v>33</v>
      </c>
      <c r="R64" s="9">
        <v>40</v>
      </c>
      <c r="S64" s="9">
        <v>200</v>
      </c>
    </row>
    <row r="65" spans="2:16">
      <c r="C65"/>
      <c r="F65" t="s">
        <v>82</v>
      </c>
    </row>
    <row r="66" spans="2:16">
      <c r="C66"/>
      <c r="F66" t="s">
        <v>45</v>
      </c>
      <c r="G66" t="s">
        <v>57</v>
      </c>
    </row>
    <row r="67" spans="2:16">
      <c r="C67"/>
      <c r="F67" t="s">
        <v>11</v>
      </c>
      <c r="G67" t="s">
        <v>61</v>
      </c>
      <c r="H67" t="s">
        <v>62</v>
      </c>
      <c r="I67" t="s">
        <v>63</v>
      </c>
      <c r="J67" t="s">
        <v>65</v>
      </c>
      <c r="K67" t="s">
        <v>66</v>
      </c>
      <c r="L67" t="s">
        <v>67</v>
      </c>
      <c r="M67" t="s">
        <v>17</v>
      </c>
    </row>
    <row r="68" spans="2:16">
      <c r="C68"/>
      <c r="F68" t="s">
        <v>22</v>
      </c>
      <c r="G68" s="12">
        <v>2574739</v>
      </c>
      <c r="H68" s="12">
        <v>3397104</v>
      </c>
      <c r="I68" s="12">
        <v>3319533</v>
      </c>
      <c r="J68" s="12">
        <v>1215461</v>
      </c>
      <c r="K68" s="12">
        <v>1046033</v>
      </c>
      <c r="L68" s="12">
        <v>1412982</v>
      </c>
      <c r="M68" s="12">
        <v>12965852</v>
      </c>
    </row>
    <row r="69" spans="2:16">
      <c r="C69"/>
      <c r="F69" t="s">
        <v>26</v>
      </c>
      <c r="G69" s="12">
        <v>1403465</v>
      </c>
      <c r="H69" s="12">
        <v>4051760</v>
      </c>
      <c r="I69" s="12">
        <v>549231</v>
      </c>
      <c r="J69" s="12">
        <v>1392214</v>
      </c>
      <c r="K69" s="12">
        <v>1336784</v>
      </c>
      <c r="L69" s="12">
        <v>1705418</v>
      </c>
      <c r="M69" s="12">
        <v>10438872</v>
      </c>
    </row>
    <row r="70" spans="2:16">
      <c r="C70"/>
      <c r="F70" t="s">
        <v>29</v>
      </c>
      <c r="G70" s="12">
        <v>1829844</v>
      </c>
      <c r="H70" s="12">
        <v>2260695</v>
      </c>
      <c r="I70" s="12">
        <v>3230036</v>
      </c>
      <c r="J70" s="12">
        <v>1178241</v>
      </c>
      <c r="K70" s="12">
        <v>2148519</v>
      </c>
      <c r="L70" s="12">
        <v>1334593</v>
      </c>
      <c r="M70" s="12">
        <v>11981928</v>
      </c>
    </row>
    <row r="71" spans="2:16">
      <c r="C71"/>
      <c r="F71" t="s">
        <v>32</v>
      </c>
      <c r="G71" s="12">
        <v>2525959</v>
      </c>
      <c r="H71" s="12">
        <v>2742153</v>
      </c>
      <c r="I71" s="12">
        <v>1646172</v>
      </c>
      <c r="J71" s="12">
        <v>3432443</v>
      </c>
      <c r="K71" s="12">
        <v>1506720</v>
      </c>
      <c r="L71" s="12">
        <v>3808869</v>
      </c>
      <c r="M71" s="12">
        <v>15662316</v>
      </c>
    </row>
    <row r="72" spans="2:16">
      <c r="C72"/>
      <c r="F72" t="s">
        <v>17</v>
      </c>
      <c r="G72" s="12">
        <v>8334007</v>
      </c>
      <c r="H72" s="12">
        <v>12451712</v>
      </c>
      <c r="I72" s="12">
        <v>8744972</v>
      </c>
      <c r="J72" s="12">
        <v>7218359</v>
      </c>
      <c r="K72" s="12">
        <v>6038056</v>
      </c>
      <c r="L72" s="12">
        <v>8261862</v>
      </c>
      <c r="M72" s="12">
        <v>51048968</v>
      </c>
    </row>
    <row r="73" spans="2:16">
      <c r="C73"/>
      <c r="J73" s="10"/>
    </row>
    <row r="74" spans="2:16">
      <c r="C74"/>
      <c r="J74" s="10"/>
    </row>
    <row r="75" spans="2:16">
      <c r="B75" t="s">
        <v>83</v>
      </c>
      <c r="C75" t="s">
        <v>6</v>
      </c>
    </row>
    <row r="76" spans="2:16"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J76" t="s">
        <v>84</v>
      </c>
    </row>
    <row r="77" spans="2:16">
      <c r="B77" t="s">
        <v>22</v>
      </c>
      <c r="C77" s="12">
        <v>3471595</v>
      </c>
      <c r="D77" s="12">
        <v>2733786</v>
      </c>
      <c r="E77" s="12">
        <v>1809811</v>
      </c>
      <c r="F77" s="12">
        <v>2878260</v>
      </c>
      <c r="G77" s="12">
        <v>2072400</v>
      </c>
      <c r="H77" s="12">
        <v>12965852</v>
      </c>
      <c r="J77" t="s">
        <v>85</v>
      </c>
      <c r="K77" t="s">
        <v>6</v>
      </c>
    </row>
    <row r="78" spans="2:16">
      <c r="B78" t="s">
        <v>26</v>
      </c>
      <c r="C78" s="12">
        <v>1445918</v>
      </c>
      <c r="D78" s="12">
        <v>3123850</v>
      </c>
      <c r="E78" s="12">
        <v>2678411</v>
      </c>
      <c r="F78" s="12">
        <v>1032811</v>
      </c>
      <c r="G78" s="12">
        <v>2157882</v>
      </c>
      <c r="H78" s="12">
        <v>10438872</v>
      </c>
      <c r="J78" t="s">
        <v>3</v>
      </c>
      <c r="K78" t="s">
        <v>12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</row>
    <row r="79" spans="2:16">
      <c r="B79" t="s">
        <v>29</v>
      </c>
      <c r="C79" s="12">
        <v>2988669</v>
      </c>
      <c r="D79" s="12">
        <v>1824003</v>
      </c>
      <c r="E79" s="12">
        <v>2728293</v>
      </c>
      <c r="F79" s="12">
        <v>2337846</v>
      </c>
      <c r="G79" s="12">
        <v>2103117</v>
      </c>
      <c r="H79" s="12">
        <v>11981928</v>
      </c>
      <c r="J79" t="s">
        <v>10</v>
      </c>
      <c r="K79" s="12">
        <v>3495432</v>
      </c>
      <c r="L79" s="12">
        <v>2200637</v>
      </c>
      <c r="M79" s="12">
        <v>4208583</v>
      </c>
      <c r="N79" s="12">
        <v>2553612</v>
      </c>
      <c r="O79" s="12">
        <v>2585450</v>
      </c>
      <c r="P79" s="12">
        <v>15043714</v>
      </c>
    </row>
    <row r="80" spans="2:16">
      <c r="B80" t="s">
        <v>32</v>
      </c>
      <c r="C80" s="12">
        <v>3274997</v>
      </c>
      <c r="D80" s="12">
        <v>2726281</v>
      </c>
      <c r="E80" s="12">
        <v>3265969</v>
      </c>
      <c r="F80" s="12">
        <v>2386299</v>
      </c>
      <c r="G80" s="12">
        <v>4008770</v>
      </c>
      <c r="H80" s="12">
        <v>15662316</v>
      </c>
      <c r="J80" t="s">
        <v>21</v>
      </c>
      <c r="K80" s="12">
        <v>1903139</v>
      </c>
      <c r="L80" s="12">
        <v>3980880</v>
      </c>
      <c r="M80" s="12">
        <v>2344503</v>
      </c>
      <c r="N80" s="12">
        <v>1806726</v>
      </c>
      <c r="O80" s="12">
        <v>2733653</v>
      </c>
      <c r="P80" s="12">
        <v>12768901</v>
      </c>
    </row>
    <row r="81" spans="2:16">
      <c r="B81" t="s">
        <v>17</v>
      </c>
      <c r="C81" s="12">
        <v>11181179</v>
      </c>
      <c r="D81" s="12">
        <v>10407920</v>
      </c>
      <c r="E81" s="12">
        <v>10482484</v>
      </c>
      <c r="F81" s="12">
        <v>8635216</v>
      </c>
      <c r="G81" s="12">
        <v>10342169</v>
      </c>
      <c r="H81" s="12">
        <v>51048968</v>
      </c>
      <c r="J81" t="s">
        <v>25</v>
      </c>
      <c r="K81" s="12">
        <v>2280247</v>
      </c>
      <c r="L81" s="12">
        <v>2861736</v>
      </c>
      <c r="M81" s="12">
        <v>1659120</v>
      </c>
      <c r="N81" s="12">
        <v>2768514</v>
      </c>
      <c r="O81" s="12">
        <v>2228818</v>
      </c>
      <c r="P81" s="12">
        <v>11798435</v>
      </c>
    </row>
    <row r="82" spans="2:16">
      <c r="C82"/>
      <c r="J82" t="s">
        <v>28</v>
      </c>
      <c r="K82" s="12">
        <v>3502361</v>
      </c>
      <c r="L82" s="12">
        <v>1364667</v>
      </c>
      <c r="M82" s="12">
        <v>2270278</v>
      </c>
      <c r="N82" s="12">
        <v>1506364</v>
      </c>
      <c r="O82" s="12">
        <v>2794248</v>
      </c>
      <c r="P82" s="12">
        <v>11437918</v>
      </c>
    </row>
    <row r="83" spans="2:16">
      <c r="C83"/>
      <c r="J83" t="s">
        <v>17</v>
      </c>
      <c r="K83" s="12">
        <v>11181179</v>
      </c>
      <c r="L83" s="12">
        <v>10407920</v>
      </c>
      <c r="M83" s="12">
        <v>10482484</v>
      </c>
      <c r="N83" s="12">
        <v>8635216</v>
      </c>
      <c r="O83" s="12">
        <v>10342169</v>
      </c>
      <c r="P83" s="12">
        <v>51048968</v>
      </c>
    </row>
    <row r="84" spans="2:16">
      <c r="C84"/>
    </row>
    <row r="85" spans="2:16">
      <c r="C85"/>
    </row>
    <row r="86" spans="2:16">
      <c r="C86"/>
    </row>
    <row r="87" spans="2:16">
      <c r="C87"/>
    </row>
    <row r="88" spans="2:16">
      <c r="C88"/>
    </row>
    <row r="89" spans="2:16">
      <c r="C89"/>
    </row>
    <row r="90" spans="2:16">
      <c r="C90"/>
    </row>
    <row r="91" spans="2:16">
      <c r="C91"/>
    </row>
    <row r="92" spans="2:16">
      <c r="C92"/>
    </row>
    <row r="93" spans="2:16">
      <c r="C93"/>
    </row>
    <row r="94" spans="2:16">
      <c r="C94"/>
    </row>
    <row r="95" spans="2:16">
      <c r="C95"/>
    </row>
    <row r="96" spans="2:16">
      <c r="C96"/>
    </row>
    <row r="97" spans="3:10">
      <c r="C97"/>
    </row>
    <row r="98" spans="3:10">
      <c r="C98"/>
    </row>
    <row r="99" spans="3:10">
      <c r="C99"/>
    </row>
    <row r="100" spans="3:10">
      <c r="C100"/>
    </row>
    <row r="101" spans="3:10">
      <c r="C101"/>
    </row>
    <row r="102" spans="3:10">
      <c r="C102"/>
    </row>
    <row r="103" spans="3:10">
      <c r="C103"/>
      <c r="J103" s="10"/>
    </row>
    <row r="104" spans="3:10">
      <c r="C104"/>
      <c r="J104" s="10"/>
    </row>
    <row r="105" spans="3:10">
      <c r="C105"/>
      <c r="J105" s="10"/>
    </row>
    <row r="106" spans="3:10">
      <c r="C106"/>
      <c r="J106" s="10"/>
    </row>
    <row r="107" spans="3:10">
      <c r="C107"/>
      <c r="J107" s="10"/>
    </row>
    <row r="108" spans="3:10">
      <c r="C108"/>
      <c r="J108" s="10"/>
    </row>
    <row r="109" spans="3:10">
      <c r="C109"/>
      <c r="J109" s="10"/>
    </row>
    <row r="110" spans="3:10">
      <c r="C110"/>
      <c r="J110" s="10"/>
    </row>
    <row r="111" spans="3:10">
      <c r="C111"/>
      <c r="J111" s="10"/>
    </row>
    <row r="112" spans="3:10">
      <c r="C112"/>
      <c r="J112" s="10"/>
    </row>
    <row r="113" spans="3:10">
      <c r="C113"/>
      <c r="J113" s="10"/>
    </row>
    <row r="114" spans="3:10">
      <c r="C114"/>
      <c r="J114" s="10"/>
    </row>
    <row r="115" spans="3:10">
      <c r="C115"/>
      <c r="J115" s="10"/>
    </row>
    <row r="116" spans="3:10">
      <c r="C116"/>
      <c r="J116" s="10"/>
    </row>
    <row r="117" spans="3:10">
      <c r="C117"/>
      <c r="J117" s="10"/>
    </row>
    <row r="118" spans="3:10">
      <c r="C118"/>
      <c r="J118" s="10"/>
    </row>
    <row r="119" spans="3:10">
      <c r="C119"/>
      <c r="J119" s="10"/>
    </row>
    <row r="120" spans="3:10">
      <c r="C120"/>
      <c r="J120" s="10"/>
    </row>
    <row r="121" spans="3:10">
      <c r="C121"/>
      <c r="J121" s="10"/>
    </row>
    <row r="122" spans="3:10">
      <c r="C122"/>
      <c r="J122" s="10"/>
    </row>
    <row r="123" spans="3:10">
      <c r="C123"/>
      <c r="J123" s="10"/>
    </row>
    <row r="124" spans="3:10">
      <c r="C124"/>
      <c r="J124" s="10"/>
    </row>
    <row r="125" spans="3:10">
      <c r="C125"/>
      <c r="J125" s="10"/>
    </row>
    <row r="126" spans="3:10">
      <c r="C126"/>
      <c r="J126" s="10"/>
    </row>
    <row r="127" spans="3:10">
      <c r="C127"/>
      <c r="J127" s="10"/>
    </row>
    <row r="128" spans="3:10">
      <c r="C128"/>
      <c r="J128" s="10"/>
    </row>
    <row r="129" spans="3:10">
      <c r="C129"/>
      <c r="J129" s="10"/>
    </row>
    <row r="130" spans="3:10">
      <c r="C130"/>
      <c r="J130" s="10"/>
    </row>
    <row r="131" spans="3:10">
      <c r="C131"/>
      <c r="J131" s="10"/>
    </row>
    <row r="132" spans="3:10">
      <c r="C132"/>
      <c r="J132" s="10"/>
    </row>
    <row r="133" spans="3:10">
      <c r="C133"/>
      <c r="J133" s="10"/>
    </row>
    <row r="134" spans="3:10">
      <c r="C134"/>
      <c r="J134" s="10"/>
    </row>
    <row r="135" spans="3:10">
      <c r="C135"/>
      <c r="J135" s="10"/>
    </row>
    <row r="136" spans="3:10">
      <c r="C136"/>
      <c r="J136" s="10"/>
    </row>
    <row r="137" spans="3:10">
      <c r="C137"/>
      <c r="J137" s="10"/>
    </row>
    <row r="138" spans="3:10">
      <c r="C138"/>
      <c r="J138" s="10"/>
    </row>
    <row r="139" spans="3:10">
      <c r="C139"/>
      <c r="J139" s="10"/>
    </row>
    <row r="140" spans="3:10">
      <c r="C140"/>
      <c r="J140" s="10"/>
    </row>
    <row r="141" spans="3:10">
      <c r="C141"/>
      <c r="J141" s="10"/>
    </row>
    <row r="142" spans="3:10">
      <c r="C142"/>
      <c r="J142" s="10"/>
    </row>
    <row r="143" spans="3:10">
      <c r="C143"/>
      <c r="J143" s="10"/>
    </row>
    <row r="144" spans="3:10">
      <c r="C144"/>
      <c r="J144" s="10"/>
    </row>
    <row r="145" spans="3:10">
      <c r="C145"/>
      <c r="J145" s="10"/>
    </row>
    <row r="146" spans="3:10">
      <c r="C146"/>
      <c r="J146" s="10"/>
    </row>
    <row r="147" spans="3:10">
      <c r="C147"/>
      <c r="J147" s="10"/>
    </row>
    <row r="148" spans="3:10">
      <c r="C148"/>
      <c r="J148" s="10"/>
    </row>
    <row r="149" spans="3:10">
      <c r="C149"/>
      <c r="J149" s="10"/>
    </row>
    <row r="150" spans="3:10">
      <c r="C150"/>
      <c r="J150" s="10"/>
    </row>
    <row r="151" spans="3:10">
      <c r="C151"/>
      <c r="J151" s="10"/>
    </row>
    <row r="152" spans="3:10">
      <c r="C152"/>
      <c r="J152" s="10"/>
    </row>
    <row r="153" spans="3:10">
      <c r="C153"/>
      <c r="J153" s="10"/>
    </row>
    <row r="154" spans="3:10">
      <c r="C154"/>
      <c r="J154" s="10"/>
    </row>
    <row r="155" spans="3:10">
      <c r="C155"/>
      <c r="J155" s="10"/>
    </row>
    <row r="156" spans="3:10">
      <c r="C156"/>
      <c r="J156" s="10"/>
    </row>
    <row r="157" spans="3:10">
      <c r="C157"/>
      <c r="J157" s="10"/>
    </row>
    <row r="158" spans="3:10">
      <c r="C158"/>
      <c r="J158" s="10"/>
    </row>
    <row r="159" spans="3:10">
      <c r="C159"/>
      <c r="J159" s="10"/>
    </row>
    <row r="160" spans="3:10">
      <c r="C160"/>
      <c r="J160" s="10"/>
    </row>
    <row r="161" spans="3:10">
      <c r="C161"/>
      <c r="J161" s="10"/>
    </row>
    <row r="162" spans="3:10">
      <c r="C162"/>
      <c r="J162" s="10"/>
    </row>
    <row r="163" spans="3:10">
      <c r="C163"/>
      <c r="J163" s="10"/>
    </row>
    <row r="164" spans="3:10">
      <c r="C164"/>
      <c r="J164" s="10"/>
    </row>
    <row r="165" spans="3:10">
      <c r="C165"/>
      <c r="J165" s="10"/>
    </row>
    <row r="166" spans="3:10">
      <c r="C166"/>
      <c r="J166" s="10"/>
    </row>
    <row r="167" spans="3:10">
      <c r="C167"/>
      <c r="J167" s="10"/>
    </row>
    <row r="168" spans="3:10">
      <c r="C168"/>
      <c r="J168" s="10"/>
    </row>
    <row r="169" spans="3:10">
      <c r="C169"/>
      <c r="J169" s="10"/>
    </row>
    <row r="170" spans="3:10">
      <c r="C170"/>
      <c r="J170" s="10"/>
    </row>
    <row r="171" spans="3:10">
      <c r="C171"/>
      <c r="J171" s="10"/>
    </row>
    <row r="172" spans="3:10">
      <c r="C172"/>
      <c r="J172" s="10"/>
    </row>
    <row r="173" spans="3:10">
      <c r="C173"/>
      <c r="J173" s="10"/>
    </row>
    <row r="174" spans="3:10">
      <c r="C174"/>
      <c r="J174" s="10"/>
    </row>
    <row r="175" spans="3:10">
      <c r="C175"/>
      <c r="J175" s="10"/>
    </row>
    <row r="176" spans="3:10">
      <c r="C176"/>
      <c r="J176" s="10"/>
    </row>
    <row r="177" spans="3:10">
      <c r="C177"/>
      <c r="J177" s="10"/>
    </row>
    <row r="178" spans="3:10">
      <c r="C178"/>
      <c r="J178" s="10"/>
    </row>
    <row r="179" spans="3:10">
      <c r="C179"/>
      <c r="J179" s="10"/>
    </row>
    <row r="180" spans="3:10">
      <c r="C180"/>
      <c r="J180" s="10"/>
    </row>
    <row r="181" spans="3:10">
      <c r="C181"/>
      <c r="J181" s="10"/>
    </row>
    <row r="182" spans="3:10">
      <c r="C182"/>
      <c r="J182" s="10"/>
    </row>
    <row r="183" spans="3:10">
      <c r="C183"/>
      <c r="J183" s="10"/>
    </row>
    <row r="184" spans="3:10">
      <c r="C184"/>
      <c r="J184" s="10"/>
    </row>
    <row r="185" spans="3:10">
      <c r="C185"/>
      <c r="J185" s="10"/>
    </row>
    <row r="186" spans="3:10">
      <c r="C186"/>
      <c r="J186" s="10"/>
    </row>
    <row r="187" spans="3:10">
      <c r="C187"/>
      <c r="J187" s="10"/>
    </row>
    <row r="188" spans="3:10">
      <c r="C188"/>
      <c r="J188" s="10"/>
    </row>
    <row r="189" spans="3:10">
      <c r="C189"/>
      <c r="J189" s="10"/>
    </row>
    <row r="190" spans="3:10">
      <c r="C190"/>
      <c r="J190" s="10"/>
    </row>
    <row r="191" spans="3:10">
      <c r="C191"/>
      <c r="J191" s="10"/>
    </row>
    <row r="192" spans="3:10">
      <c r="C192"/>
      <c r="J192" s="10"/>
    </row>
    <row r="193" spans="3:10">
      <c r="C193"/>
      <c r="J193" s="10"/>
    </row>
    <row r="194" spans="3:10">
      <c r="C194"/>
      <c r="J194" s="10"/>
    </row>
    <row r="195" spans="3:10">
      <c r="C195"/>
      <c r="J195" s="10"/>
    </row>
    <row r="196" spans="3:10">
      <c r="C196"/>
      <c r="J196" s="10"/>
    </row>
    <row r="197" spans="3:10">
      <c r="C197"/>
      <c r="J197" s="10"/>
    </row>
    <row r="198" spans="3:10">
      <c r="C198"/>
      <c r="J198" s="10"/>
    </row>
    <row r="199" spans="3:10">
      <c r="C199"/>
      <c r="J199" s="10"/>
    </row>
    <row r="200" spans="3:10">
      <c r="C200"/>
      <c r="J200" s="10"/>
    </row>
    <row r="201" spans="3:10">
      <c r="C201"/>
      <c r="J201" s="10"/>
    </row>
    <row r="202" spans="3:10">
      <c r="C202"/>
      <c r="J202" s="10"/>
    </row>
    <row r="203" spans="3:10">
      <c r="C203"/>
      <c r="J203" s="10"/>
    </row>
    <row r="204" spans="3:10">
      <c r="C204"/>
      <c r="J204" s="10"/>
    </row>
    <row r="205" spans="3:10">
      <c r="C205"/>
      <c r="J205" s="10"/>
    </row>
    <row r="206" spans="3:10">
      <c r="C206"/>
      <c r="J206" s="10"/>
    </row>
    <row r="207" spans="3:10">
      <c r="C207"/>
      <c r="J207" s="10"/>
    </row>
    <row r="208" spans="3:10">
      <c r="C208"/>
      <c r="J208" s="10"/>
    </row>
    <row r="209" spans="3:10">
      <c r="C209"/>
      <c r="J209" s="10"/>
    </row>
    <row r="210" spans="3:10">
      <c r="C210"/>
      <c r="J210" s="10"/>
    </row>
    <row r="211" spans="3:10">
      <c r="C211"/>
      <c r="J211" s="10"/>
    </row>
    <row r="212" spans="3:10">
      <c r="C212"/>
      <c r="J212" s="10"/>
    </row>
    <row r="213" spans="3:10">
      <c r="C213"/>
      <c r="J213" s="10"/>
    </row>
    <row r="214" spans="3:10">
      <c r="C214"/>
      <c r="J214" s="10"/>
    </row>
    <row r="215" spans="3:10">
      <c r="C215"/>
      <c r="J215" s="10"/>
    </row>
    <row r="216" spans="3:10">
      <c r="C216"/>
      <c r="J216" s="10"/>
    </row>
    <row r="217" spans="3:10">
      <c r="C217"/>
      <c r="J217" s="10"/>
    </row>
    <row r="218" spans="3:10">
      <c r="J218" s="10"/>
    </row>
    <row r="219" spans="3:10">
      <c r="J219" s="10"/>
    </row>
    <row r="220" spans="3:10">
      <c r="J220" s="10"/>
    </row>
    <row r="221" spans="3:10">
      <c r="J221" s="10"/>
    </row>
    <row r="222" spans="3:10">
      <c r="J222" s="10"/>
    </row>
    <row r="223" spans="3:10">
      <c r="J223" s="10"/>
    </row>
    <row r="224" spans="3:10">
      <c r="J224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01"/>
  <sheetViews>
    <sheetView workbookViewId="0"/>
  </sheetViews>
  <sheetFormatPr defaultColWidth="9.140625" defaultRowHeight="15"/>
  <cols>
    <col min="2" max="2" width="11" customWidth="1"/>
    <col min="3" max="3" width="5" customWidth="1"/>
    <col min="4" max="4" width="8.140625" customWidth="1"/>
    <col min="5" max="5" width="14" customWidth="1"/>
    <col min="6" max="6" width="16.7109375" customWidth="1"/>
    <col min="7" max="7" width="15.7109375" customWidth="1"/>
    <col min="8" max="8" width="16.42578125" customWidth="1"/>
    <col min="9" max="9" width="16.5703125" customWidth="1"/>
    <col min="10" max="10" width="13.7109375" customWidth="1"/>
    <col min="11" max="11" width="11.140625" customWidth="1"/>
    <col min="12" max="12" width="16" customWidth="1"/>
    <col min="13" max="13" width="20.5703125" customWidth="1"/>
    <col min="14" max="14" width="10.5703125"/>
  </cols>
  <sheetData>
    <row r="1" spans="2:13">
      <c r="B1" t="s">
        <v>86</v>
      </c>
      <c r="C1" t="s">
        <v>7</v>
      </c>
      <c r="D1" t="s">
        <v>8</v>
      </c>
      <c r="E1" t="s">
        <v>6</v>
      </c>
      <c r="F1" t="s">
        <v>87</v>
      </c>
      <c r="G1" t="s">
        <v>69</v>
      </c>
      <c r="H1" t="s">
        <v>88</v>
      </c>
      <c r="I1" t="s">
        <v>11</v>
      </c>
      <c r="J1" t="s">
        <v>3</v>
      </c>
      <c r="K1" t="s">
        <v>50</v>
      </c>
      <c r="L1" t="s">
        <v>89</v>
      </c>
      <c r="M1" t="s">
        <v>57</v>
      </c>
    </row>
    <row r="2" spans="2:13">
      <c r="B2" t="s">
        <v>90</v>
      </c>
      <c r="C2">
        <v>56</v>
      </c>
      <c r="D2" t="s">
        <v>20</v>
      </c>
      <c r="E2" t="s">
        <v>13</v>
      </c>
      <c r="F2" s="8">
        <v>45320</v>
      </c>
      <c r="G2">
        <v>8</v>
      </c>
      <c r="H2">
        <v>156194</v>
      </c>
      <c r="I2" t="s">
        <v>32</v>
      </c>
      <c r="J2" t="s">
        <v>21</v>
      </c>
      <c r="K2" t="s">
        <v>54</v>
      </c>
      <c r="L2" s="8">
        <v>45328</v>
      </c>
      <c r="M2" s="9" t="str">
        <f t="shared" ref="M2:M33" si="0">TEXT(F2,"MMM")</f>
        <v>Jan</v>
      </c>
    </row>
    <row r="3" spans="2:13">
      <c r="B3" t="s">
        <v>91</v>
      </c>
      <c r="C3">
        <v>69</v>
      </c>
      <c r="D3" t="s">
        <v>24</v>
      </c>
      <c r="E3" t="s">
        <v>15</v>
      </c>
      <c r="F3" s="8">
        <v>45432</v>
      </c>
      <c r="G3">
        <v>1</v>
      </c>
      <c r="H3">
        <v>300174</v>
      </c>
      <c r="I3" t="s">
        <v>26</v>
      </c>
      <c r="J3" t="s">
        <v>21</v>
      </c>
      <c r="K3" t="s">
        <v>54</v>
      </c>
      <c r="L3" s="8">
        <v>45433</v>
      </c>
      <c r="M3" s="9" t="str">
        <f t="shared" si="0"/>
        <v>May</v>
      </c>
    </row>
    <row r="4" spans="2:13">
      <c r="B4" t="s">
        <v>92</v>
      </c>
      <c r="C4">
        <v>46</v>
      </c>
      <c r="D4" t="s">
        <v>24</v>
      </c>
      <c r="E4" t="s">
        <v>16</v>
      </c>
      <c r="F4" s="8">
        <v>45303</v>
      </c>
      <c r="G4">
        <v>6</v>
      </c>
      <c r="H4">
        <v>364982</v>
      </c>
      <c r="I4" t="s">
        <v>22</v>
      </c>
      <c r="J4" t="s">
        <v>10</v>
      </c>
      <c r="K4" t="s">
        <v>54</v>
      </c>
      <c r="L4" s="8">
        <v>45309</v>
      </c>
      <c r="M4" s="9" t="str">
        <f t="shared" si="0"/>
        <v>Jan</v>
      </c>
    </row>
    <row r="5" spans="2:13">
      <c r="B5" t="s">
        <v>93</v>
      </c>
      <c r="C5">
        <v>32</v>
      </c>
      <c r="D5" t="s">
        <v>24</v>
      </c>
      <c r="E5" t="s">
        <v>15</v>
      </c>
      <c r="F5" s="8">
        <v>45386</v>
      </c>
      <c r="H5">
        <v>366861</v>
      </c>
      <c r="I5" t="s">
        <v>26</v>
      </c>
      <c r="J5" t="s">
        <v>10</v>
      </c>
      <c r="K5" t="s">
        <v>54</v>
      </c>
      <c r="L5" s="8">
        <v>45387</v>
      </c>
      <c r="M5" s="9" t="str">
        <f t="shared" si="0"/>
        <v>Apr</v>
      </c>
    </row>
    <row r="6" spans="2:13">
      <c r="B6" t="s">
        <v>94</v>
      </c>
      <c r="C6">
        <v>60</v>
      </c>
      <c r="D6" t="s">
        <v>24</v>
      </c>
      <c r="E6" t="s">
        <v>16</v>
      </c>
      <c r="F6" s="8">
        <v>45337</v>
      </c>
      <c r="G6">
        <v>2</v>
      </c>
      <c r="H6">
        <v>468874</v>
      </c>
      <c r="I6" t="s">
        <v>32</v>
      </c>
      <c r="J6" t="s">
        <v>28</v>
      </c>
      <c r="K6" t="s">
        <v>54</v>
      </c>
      <c r="L6" s="8">
        <v>45339</v>
      </c>
      <c r="M6" s="9" t="str">
        <f t="shared" si="0"/>
        <v>Feb</v>
      </c>
    </row>
    <row r="7" spans="2:13">
      <c r="B7" t="s">
        <v>95</v>
      </c>
      <c r="C7">
        <v>25</v>
      </c>
      <c r="D7" t="s">
        <v>24</v>
      </c>
      <c r="E7" t="s">
        <v>12</v>
      </c>
      <c r="F7" s="8">
        <v>45421</v>
      </c>
      <c r="G7">
        <v>1</v>
      </c>
      <c r="H7">
        <v>58638</v>
      </c>
      <c r="I7" t="s">
        <v>29</v>
      </c>
      <c r="J7" t="s">
        <v>10</v>
      </c>
      <c r="K7" t="s">
        <v>54</v>
      </c>
      <c r="L7" s="8">
        <v>45422</v>
      </c>
      <c r="M7" s="9" t="str">
        <f t="shared" si="0"/>
        <v>May</v>
      </c>
    </row>
    <row r="8" spans="2:13">
      <c r="B8" t="s">
        <v>96</v>
      </c>
      <c r="C8">
        <v>78</v>
      </c>
      <c r="D8" t="s">
        <v>24</v>
      </c>
      <c r="E8" t="s">
        <v>14</v>
      </c>
      <c r="F8" s="8">
        <v>45326</v>
      </c>
      <c r="G8">
        <v>11</v>
      </c>
      <c r="H8">
        <v>349211</v>
      </c>
      <c r="I8" t="s">
        <v>22</v>
      </c>
      <c r="J8" t="s">
        <v>25</v>
      </c>
      <c r="K8" t="s">
        <v>54</v>
      </c>
      <c r="L8" s="8">
        <v>45337</v>
      </c>
      <c r="M8" s="9" t="str">
        <f t="shared" si="0"/>
        <v>Feb</v>
      </c>
    </row>
    <row r="9" spans="2:13">
      <c r="B9" t="s">
        <v>97</v>
      </c>
      <c r="C9">
        <v>38</v>
      </c>
      <c r="D9" t="s">
        <v>24</v>
      </c>
      <c r="E9" t="s">
        <v>14</v>
      </c>
      <c r="F9" s="8">
        <v>45372</v>
      </c>
      <c r="G9">
        <v>5</v>
      </c>
      <c r="H9">
        <v>138033</v>
      </c>
      <c r="I9" t="s">
        <v>29</v>
      </c>
      <c r="J9" t="s">
        <v>25</v>
      </c>
      <c r="K9" t="s">
        <v>54</v>
      </c>
      <c r="L9" s="8">
        <v>45377</v>
      </c>
      <c r="M9" s="9" t="str">
        <f t="shared" si="0"/>
        <v>Mar</v>
      </c>
    </row>
    <row r="10" spans="2:13">
      <c r="B10" t="s">
        <v>98</v>
      </c>
      <c r="C10">
        <v>56</v>
      </c>
      <c r="D10" t="s">
        <v>20</v>
      </c>
      <c r="E10" t="s">
        <v>14</v>
      </c>
      <c r="F10" s="8">
        <v>45381</v>
      </c>
      <c r="G10">
        <v>10</v>
      </c>
      <c r="H10">
        <v>125977</v>
      </c>
      <c r="I10" t="s">
        <v>32</v>
      </c>
      <c r="J10" t="s">
        <v>21</v>
      </c>
      <c r="K10" t="s">
        <v>54</v>
      </c>
      <c r="L10" s="8">
        <v>45391</v>
      </c>
      <c r="M10" s="9" t="str">
        <f t="shared" si="0"/>
        <v>Mar</v>
      </c>
    </row>
    <row r="11" spans="2:13">
      <c r="B11" t="s">
        <v>99</v>
      </c>
      <c r="C11">
        <v>75</v>
      </c>
      <c r="D11" t="s">
        <v>24</v>
      </c>
      <c r="E11" t="s">
        <v>15</v>
      </c>
      <c r="F11" s="8">
        <v>45299</v>
      </c>
      <c r="G11">
        <v>9</v>
      </c>
      <c r="H11">
        <v>108869</v>
      </c>
      <c r="I11" t="s">
        <v>32</v>
      </c>
      <c r="J11" t="s">
        <v>25</v>
      </c>
      <c r="K11" t="s">
        <v>53</v>
      </c>
      <c r="L11" s="8">
        <v>45308</v>
      </c>
      <c r="M11" s="9" t="str">
        <f t="shared" si="0"/>
        <v>Jan</v>
      </c>
    </row>
    <row r="12" spans="2:13">
      <c r="B12" t="s">
        <v>100</v>
      </c>
      <c r="C12">
        <v>36</v>
      </c>
      <c r="D12" t="s">
        <v>20</v>
      </c>
      <c r="E12" t="s">
        <v>12</v>
      </c>
      <c r="F12" s="8">
        <v>45384</v>
      </c>
      <c r="G12">
        <v>6</v>
      </c>
      <c r="H12">
        <v>125186</v>
      </c>
      <c r="I12" t="s">
        <v>32</v>
      </c>
      <c r="J12" t="s">
        <v>28</v>
      </c>
      <c r="K12" t="s">
        <v>54</v>
      </c>
      <c r="L12" s="8">
        <v>45390</v>
      </c>
      <c r="M12" s="9" t="str">
        <f t="shared" si="0"/>
        <v>Apr</v>
      </c>
    </row>
    <row r="13" spans="2:13">
      <c r="B13" t="s">
        <v>101</v>
      </c>
      <c r="C13">
        <v>40</v>
      </c>
      <c r="D13" t="s">
        <v>24</v>
      </c>
      <c r="E13" t="s">
        <v>16</v>
      </c>
      <c r="F13" s="8">
        <v>45445</v>
      </c>
      <c r="G13">
        <v>11</v>
      </c>
      <c r="H13">
        <v>316818</v>
      </c>
      <c r="I13" t="s">
        <v>29</v>
      </c>
      <c r="J13" t="s">
        <v>25</v>
      </c>
      <c r="K13" t="s">
        <v>54</v>
      </c>
      <c r="L13" s="8">
        <v>45456</v>
      </c>
      <c r="M13" s="9" t="str">
        <f t="shared" si="0"/>
        <v>Jun</v>
      </c>
    </row>
    <row r="14" spans="2:13">
      <c r="B14" t="s">
        <v>102</v>
      </c>
      <c r="C14">
        <v>28</v>
      </c>
      <c r="D14" t="s">
        <v>24</v>
      </c>
      <c r="E14" t="s">
        <v>13</v>
      </c>
      <c r="F14" s="8">
        <v>45381</v>
      </c>
      <c r="G14">
        <v>11</v>
      </c>
      <c r="H14">
        <v>186926</v>
      </c>
      <c r="I14" t="s">
        <v>29</v>
      </c>
      <c r="J14" t="s">
        <v>25</v>
      </c>
      <c r="K14" t="s">
        <v>54</v>
      </c>
      <c r="L14" s="8">
        <v>45392</v>
      </c>
      <c r="M14" s="9" t="str">
        <f t="shared" si="0"/>
        <v>Mar</v>
      </c>
    </row>
    <row r="15" spans="2:13">
      <c r="B15" t="s">
        <v>103</v>
      </c>
      <c r="C15">
        <v>28</v>
      </c>
      <c r="D15" t="s">
        <v>24</v>
      </c>
      <c r="E15" t="s">
        <v>16</v>
      </c>
      <c r="F15" s="8">
        <v>45453</v>
      </c>
      <c r="G15">
        <v>1</v>
      </c>
      <c r="H15">
        <v>66271</v>
      </c>
      <c r="I15" t="s">
        <v>29</v>
      </c>
      <c r="J15" t="s">
        <v>28</v>
      </c>
      <c r="K15" t="s">
        <v>54</v>
      </c>
      <c r="L15" s="8">
        <v>45454</v>
      </c>
      <c r="M15" s="9" t="str">
        <f t="shared" si="0"/>
        <v>Jun</v>
      </c>
    </row>
    <row r="16" spans="2:13">
      <c r="B16" t="s">
        <v>104</v>
      </c>
      <c r="C16">
        <v>41</v>
      </c>
      <c r="D16" t="s">
        <v>20</v>
      </c>
      <c r="E16" t="s">
        <v>13</v>
      </c>
      <c r="F16" s="8">
        <v>45406</v>
      </c>
      <c r="G16">
        <v>13</v>
      </c>
      <c r="H16">
        <v>355832</v>
      </c>
      <c r="I16" t="s">
        <v>29</v>
      </c>
      <c r="J16" t="s">
        <v>10</v>
      </c>
      <c r="K16" t="s">
        <v>54</v>
      </c>
      <c r="L16" s="8">
        <v>45419</v>
      </c>
      <c r="M16" s="9" t="str">
        <f t="shared" si="0"/>
        <v>Apr</v>
      </c>
    </row>
    <row r="17" spans="2:13">
      <c r="B17" t="s">
        <v>105</v>
      </c>
      <c r="C17">
        <v>70</v>
      </c>
      <c r="D17" t="s">
        <v>20</v>
      </c>
      <c r="E17" t="s">
        <v>16</v>
      </c>
      <c r="F17" s="8">
        <v>45396</v>
      </c>
      <c r="G17">
        <v>1</v>
      </c>
      <c r="H17">
        <v>451734</v>
      </c>
      <c r="I17" t="s">
        <v>32</v>
      </c>
      <c r="J17" t="s">
        <v>10</v>
      </c>
      <c r="K17" t="s">
        <v>53</v>
      </c>
      <c r="L17" s="8">
        <v>45397</v>
      </c>
      <c r="M17" s="9" t="str">
        <f t="shared" si="0"/>
        <v>Apr</v>
      </c>
    </row>
    <row r="18" spans="2:13">
      <c r="B18" t="s">
        <v>106</v>
      </c>
      <c r="C18">
        <v>53</v>
      </c>
      <c r="D18" t="s">
        <v>20</v>
      </c>
      <c r="E18" t="s">
        <v>12</v>
      </c>
      <c r="F18" s="8">
        <v>45426</v>
      </c>
      <c r="G18">
        <v>2</v>
      </c>
      <c r="H18">
        <v>393220</v>
      </c>
      <c r="I18" t="s">
        <v>32</v>
      </c>
      <c r="J18" t="s">
        <v>28</v>
      </c>
      <c r="K18" t="s">
        <v>54</v>
      </c>
      <c r="L18" s="8">
        <v>45428</v>
      </c>
      <c r="M18" s="9" t="str">
        <f t="shared" si="0"/>
        <v>May</v>
      </c>
    </row>
    <row r="19" spans="2:13">
      <c r="B19" t="s">
        <v>107</v>
      </c>
      <c r="C19">
        <v>57</v>
      </c>
      <c r="D19" t="s">
        <v>20</v>
      </c>
      <c r="E19" t="s">
        <v>13</v>
      </c>
      <c r="F19" s="8">
        <v>45349</v>
      </c>
      <c r="G19">
        <v>9</v>
      </c>
      <c r="H19">
        <v>161339</v>
      </c>
      <c r="I19" t="s">
        <v>22</v>
      </c>
      <c r="J19" t="s">
        <v>21</v>
      </c>
      <c r="K19" t="s">
        <v>54</v>
      </c>
      <c r="L19" s="8">
        <v>45358</v>
      </c>
      <c r="M19" s="9" t="str">
        <f t="shared" si="0"/>
        <v>Feb</v>
      </c>
    </row>
    <row r="20" spans="2:13">
      <c r="B20" t="s">
        <v>108</v>
      </c>
      <c r="C20">
        <v>41</v>
      </c>
      <c r="D20" t="s">
        <v>24</v>
      </c>
      <c r="E20" t="s">
        <v>15</v>
      </c>
      <c r="F20" s="8">
        <v>45405</v>
      </c>
      <c r="G20">
        <v>3</v>
      </c>
      <c r="H20">
        <v>241897</v>
      </c>
      <c r="I20" t="s">
        <v>22</v>
      </c>
      <c r="J20" t="s">
        <v>25</v>
      </c>
      <c r="K20" t="s">
        <v>54</v>
      </c>
      <c r="L20" s="8">
        <v>45408</v>
      </c>
      <c r="M20" s="9" t="str">
        <f t="shared" si="0"/>
        <v>Apr</v>
      </c>
    </row>
    <row r="21" spans="2:13">
      <c r="B21" t="s">
        <v>109</v>
      </c>
      <c r="C21">
        <v>20</v>
      </c>
      <c r="D21" t="s">
        <v>20</v>
      </c>
      <c r="E21" t="s">
        <v>16</v>
      </c>
      <c r="F21" s="8">
        <v>45366</v>
      </c>
      <c r="G21">
        <v>1</v>
      </c>
      <c r="H21">
        <v>21062</v>
      </c>
      <c r="I21" t="s">
        <v>29</v>
      </c>
      <c r="J21" t="s">
        <v>28</v>
      </c>
      <c r="K21" t="s">
        <v>54</v>
      </c>
      <c r="L21" s="8">
        <v>45367</v>
      </c>
      <c r="M21" s="9" t="str">
        <f t="shared" si="0"/>
        <v>Mar</v>
      </c>
    </row>
    <row r="22" spans="2:13">
      <c r="B22" t="s">
        <v>110</v>
      </c>
      <c r="C22">
        <v>39</v>
      </c>
      <c r="D22" t="s">
        <v>24</v>
      </c>
      <c r="E22" t="s">
        <v>16</v>
      </c>
      <c r="F22" s="8">
        <v>45448</v>
      </c>
      <c r="G22">
        <v>5</v>
      </c>
      <c r="H22">
        <v>267736</v>
      </c>
      <c r="I22" t="s">
        <v>26</v>
      </c>
      <c r="J22" t="s">
        <v>25</v>
      </c>
      <c r="K22" t="s">
        <v>54</v>
      </c>
      <c r="L22" s="8">
        <v>45453</v>
      </c>
      <c r="M22" s="9" t="str">
        <f t="shared" si="0"/>
        <v>Jun</v>
      </c>
    </row>
    <row r="23" spans="2:13">
      <c r="B23" t="s">
        <v>111</v>
      </c>
      <c r="C23">
        <v>70</v>
      </c>
      <c r="D23" t="s">
        <v>24</v>
      </c>
      <c r="E23" t="s">
        <v>13</v>
      </c>
      <c r="F23" s="8">
        <v>45411</v>
      </c>
      <c r="G23">
        <v>7</v>
      </c>
      <c r="H23">
        <v>70448</v>
      </c>
      <c r="I23" t="s">
        <v>26</v>
      </c>
      <c r="J23" t="s">
        <v>21</v>
      </c>
      <c r="K23" t="s">
        <v>54</v>
      </c>
      <c r="L23" s="8">
        <v>45418</v>
      </c>
      <c r="M23" s="9" t="str">
        <f t="shared" si="0"/>
        <v>Apr</v>
      </c>
    </row>
    <row r="24" spans="2:13">
      <c r="B24" t="s">
        <v>112</v>
      </c>
      <c r="C24">
        <v>19</v>
      </c>
      <c r="D24" t="s">
        <v>20</v>
      </c>
      <c r="E24" t="s">
        <v>15</v>
      </c>
      <c r="F24" s="8">
        <v>45455</v>
      </c>
      <c r="G24">
        <v>6</v>
      </c>
      <c r="H24">
        <v>115462</v>
      </c>
      <c r="I24" t="s">
        <v>32</v>
      </c>
      <c r="J24" t="s">
        <v>25</v>
      </c>
      <c r="K24" t="s">
        <v>54</v>
      </c>
      <c r="L24" s="8">
        <v>45461</v>
      </c>
      <c r="M24" s="9" t="str">
        <f t="shared" si="0"/>
        <v>Jun</v>
      </c>
    </row>
    <row r="25" spans="2:13">
      <c r="B25" t="s">
        <v>113</v>
      </c>
      <c r="C25">
        <v>41</v>
      </c>
      <c r="D25" t="s">
        <v>20</v>
      </c>
      <c r="E25" t="s">
        <v>15</v>
      </c>
      <c r="F25" s="8">
        <v>45312</v>
      </c>
      <c r="G25">
        <v>12</v>
      </c>
      <c r="H25">
        <v>419445</v>
      </c>
      <c r="I25" t="s">
        <v>32</v>
      </c>
      <c r="J25" t="s">
        <v>28</v>
      </c>
      <c r="K25" t="s">
        <v>54</v>
      </c>
      <c r="L25" s="8">
        <v>45324</v>
      </c>
      <c r="M25" s="9" t="str">
        <f t="shared" si="0"/>
        <v>Jan</v>
      </c>
    </row>
    <row r="26" spans="2:13">
      <c r="B26" t="s">
        <v>114</v>
      </c>
      <c r="C26">
        <v>61</v>
      </c>
      <c r="D26" t="s">
        <v>20</v>
      </c>
      <c r="E26" t="s">
        <v>12</v>
      </c>
      <c r="F26" s="8">
        <v>45455</v>
      </c>
      <c r="G26">
        <v>1</v>
      </c>
      <c r="H26">
        <v>470009</v>
      </c>
      <c r="I26" t="s">
        <v>32</v>
      </c>
      <c r="J26" t="s">
        <v>25</v>
      </c>
      <c r="K26" t="s">
        <v>54</v>
      </c>
      <c r="L26" s="8">
        <v>45456</v>
      </c>
      <c r="M26" s="9" t="str">
        <f t="shared" si="0"/>
        <v>Jun</v>
      </c>
    </row>
    <row r="27" spans="2:13">
      <c r="B27" t="s">
        <v>115</v>
      </c>
      <c r="C27">
        <v>47</v>
      </c>
      <c r="D27" t="s">
        <v>20</v>
      </c>
      <c r="E27" t="s">
        <v>15</v>
      </c>
      <c r="F27" s="8">
        <v>45429</v>
      </c>
      <c r="G27">
        <v>5</v>
      </c>
      <c r="H27">
        <v>265885</v>
      </c>
      <c r="I27" t="s">
        <v>22</v>
      </c>
      <c r="J27" t="s">
        <v>10</v>
      </c>
      <c r="K27" t="s">
        <v>54</v>
      </c>
      <c r="L27" s="8">
        <v>45434</v>
      </c>
      <c r="M27" s="9" t="str">
        <f t="shared" si="0"/>
        <v>May</v>
      </c>
    </row>
    <row r="28" spans="2:13">
      <c r="B28" t="s">
        <v>116</v>
      </c>
      <c r="C28">
        <v>55</v>
      </c>
      <c r="D28" t="s">
        <v>20</v>
      </c>
      <c r="E28" t="s">
        <v>15</v>
      </c>
      <c r="F28" s="8">
        <v>45392</v>
      </c>
      <c r="G28">
        <v>5</v>
      </c>
      <c r="H28">
        <v>67915</v>
      </c>
      <c r="I28" t="s">
        <v>22</v>
      </c>
      <c r="J28" t="s">
        <v>21</v>
      </c>
      <c r="K28" t="s">
        <v>54</v>
      </c>
      <c r="L28" s="8">
        <v>45397</v>
      </c>
      <c r="M28" s="9" t="str">
        <f t="shared" si="0"/>
        <v>Apr</v>
      </c>
    </row>
    <row r="29" spans="2:13">
      <c r="B29" t="s">
        <v>117</v>
      </c>
      <c r="C29">
        <v>19</v>
      </c>
      <c r="D29" t="s">
        <v>20</v>
      </c>
      <c r="E29" t="s">
        <v>15</v>
      </c>
      <c r="F29" s="8">
        <v>45443</v>
      </c>
      <c r="G29">
        <v>6</v>
      </c>
      <c r="H29">
        <v>286776</v>
      </c>
      <c r="I29" t="s">
        <v>32</v>
      </c>
      <c r="J29" t="s">
        <v>21</v>
      </c>
      <c r="K29" t="s">
        <v>54</v>
      </c>
      <c r="L29" s="8">
        <v>45449</v>
      </c>
      <c r="M29" s="9" t="str">
        <f t="shared" si="0"/>
        <v>May</v>
      </c>
    </row>
    <row r="30" spans="2:13">
      <c r="B30" t="s">
        <v>118</v>
      </c>
      <c r="C30">
        <v>77</v>
      </c>
      <c r="D30" t="s">
        <v>20</v>
      </c>
      <c r="E30" t="s">
        <v>14</v>
      </c>
      <c r="F30" s="8">
        <v>45468</v>
      </c>
      <c r="G30">
        <v>3</v>
      </c>
      <c r="H30">
        <v>124592</v>
      </c>
      <c r="I30" t="s">
        <v>32</v>
      </c>
      <c r="J30" t="s">
        <v>21</v>
      </c>
      <c r="K30" t="s">
        <v>54</v>
      </c>
      <c r="L30" s="8">
        <v>45471</v>
      </c>
      <c r="M30" s="9" t="str">
        <f t="shared" si="0"/>
        <v>Jun</v>
      </c>
    </row>
    <row r="31" spans="2:13">
      <c r="B31" t="s">
        <v>119</v>
      </c>
      <c r="C31">
        <v>38</v>
      </c>
      <c r="D31" t="s">
        <v>20</v>
      </c>
      <c r="E31" t="s">
        <v>12</v>
      </c>
      <c r="F31" s="8">
        <v>45390</v>
      </c>
      <c r="G31">
        <v>5</v>
      </c>
      <c r="H31">
        <v>154668</v>
      </c>
      <c r="I31" t="s">
        <v>32</v>
      </c>
      <c r="J31" t="s">
        <v>28</v>
      </c>
      <c r="K31" t="s">
        <v>54</v>
      </c>
      <c r="L31" s="8">
        <v>45395</v>
      </c>
      <c r="M31" s="9" t="str">
        <f t="shared" si="0"/>
        <v>Apr</v>
      </c>
    </row>
    <row r="32" spans="2:13">
      <c r="B32" t="s">
        <v>120</v>
      </c>
      <c r="C32">
        <v>50</v>
      </c>
      <c r="D32" t="s">
        <v>24</v>
      </c>
      <c r="E32" t="s">
        <v>16</v>
      </c>
      <c r="F32" s="8">
        <v>45327</v>
      </c>
      <c r="G32">
        <v>7</v>
      </c>
      <c r="H32">
        <v>391923</v>
      </c>
      <c r="I32" t="s">
        <v>26</v>
      </c>
      <c r="J32" t="s">
        <v>21</v>
      </c>
      <c r="K32" t="s">
        <v>54</v>
      </c>
      <c r="L32" s="8">
        <v>45334</v>
      </c>
      <c r="M32" s="9" t="str">
        <f t="shared" si="0"/>
        <v>Feb</v>
      </c>
    </row>
    <row r="33" spans="2:13">
      <c r="B33" t="s">
        <v>121</v>
      </c>
      <c r="C33">
        <v>29</v>
      </c>
      <c r="D33" t="s">
        <v>20</v>
      </c>
      <c r="E33" t="s">
        <v>13</v>
      </c>
      <c r="F33" s="8">
        <v>45387</v>
      </c>
      <c r="G33">
        <v>5</v>
      </c>
      <c r="H33">
        <v>419384</v>
      </c>
      <c r="I33" t="s">
        <v>22</v>
      </c>
      <c r="J33" t="s">
        <v>10</v>
      </c>
      <c r="K33" t="s">
        <v>54</v>
      </c>
      <c r="L33" s="8">
        <v>45392</v>
      </c>
      <c r="M33" s="9" t="str">
        <f t="shared" si="0"/>
        <v>Apr</v>
      </c>
    </row>
    <row r="34" spans="2:13">
      <c r="B34" t="s">
        <v>122</v>
      </c>
      <c r="C34">
        <v>75</v>
      </c>
      <c r="D34" t="s">
        <v>20</v>
      </c>
      <c r="E34" t="s">
        <v>16</v>
      </c>
      <c r="F34" s="8">
        <v>45443</v>
      </c>
      <c r="G34">
        <v>5</v>
      </c>
      <c r="H34">
        <v>128099</v>
      </c>
      <c r="I34" t="s">
        <v>26</v>
      </c>
      <c r="J34" t="s">
        <v>28</v>
      </c>
      <c r="K34" t="s">
        <v>54</v>
      </c>
      <c r="L34" s="8">
        <v>45448</v>
      </c>
      <c r="M34" s="9" t="str">
        <f t="shared" ref="M34:M65" si="1">TEXT(F34,"MMM")</f>
        <v>May</v>
      </c>
    </row>
    <row r="35" spans="2:13">
      <c r="B35" t="s">
        <v>123</v>
      </c>
      <c r="C35">
        <v>39</v>
      </c>
      <c r="D35" t="s">
        <v>24</v>
      </c>
      <c r="E35" t="s">
        <v>12</v>
      </c>
      <c r="F35" s="8">
        <v>45442</v>
      </c>
      <c r="G35">
        <v>5</v>
      </c>
      <c r="H35">
        <v>27561</v>
      </c>
      <c r="I35" t="s">
        <v>26</v>
      </c>
      <c r="J35" t="s">
        <v>10</v>
      </c>
      <c r="K35" t="s">
        <v>53</v>
      </c>
      <c r="L35" s="8">
        <v>45447</v>
      </c>
      <c r="M35" s="9" t="str">
        <f t="shared" si="1"/>
        <v>May</v>
      </c>
    </row>
    <row r="36" spans="2:13">
      <c r="B36" t="s">
        <v>124</v>
      </c>
      <c r="C36">
        <v>78</v>
      </c>
      <c r="D36" t="s">
        <v>20</v>
      </c>
      <c r="E36" t="s">
        <v>13</v>
      </c>
      <c r="F36" s="8">
        <v>45328</v>
      </c>
      <c r="G36">
        <v>10</v>
      </c>
      <c r="H36">
        <v>487010</v>
      </c>
      <c r="I36" t="s">
        <v>32</v>
      </c>
      <c r="J36" t="s">
        <v>25</v>
      </c>
      <c r="K36" t="s">
        <v>54</v>
      </c>
      <c r="L36" s="8">
        <v>45338</v>
      </c>
      <c r="M36" s="9" t="str">
        <f t="shared" si="1"/>
        <v>Feb</v>
      </c>
    </row>
    <row r="37" spans="2:13">
      <c r="B37" t="s">
        <v>125</v>
      </c>
      <c r="C37">
        <v>61</v>
      </c>
      <c r="D37" t="s">
        <v>24</v>
      </c>
      <c r="E37" t="s">
        <v>12</v>
      </c>
      <c r="F37" s="8">
        <v>45303</v>
      </c>
      <c r="G37">
        <v>10</v>
      </c>
      <c r="H37">
        <v>102152</v>
      </c>
      <c r="I37" t="s">
        <v>32</v>
      </c>
      <c r="J37" t="s">
        <v>25</v>
      </c>
      <c r="K37" t="s">
        <v>54</v>
      </c>
      <c r="L37" s="8">
        <v>45313</v>
      </c>
      <c r="M37" s="9" t="str">
        <f t="shared" si="1"/>
        <v>Jan</v>
      </c>
    </row>
    <row r="38" spans="2:13">
      <c r="B38" t="s">
        <v>126</v>
      </c>
      <c r="C38">
        <v>42</v>
      </c>
      <c r="D38" t="s">
        <v>24</v>
      </c>
      <c r="E38" t="s">
        <v>15</v>
      </c>
      <c r="F38" s="8">
        <v>45404</v>
      </c>
      <c r="G38">
        <v>3</v>
      </c>
      <c r="H38">
        <v>145036</v>
      </c>
      <c r="I38" t="s">
        <v>29</v>
      </c>
      <c r="J38" t="s">
        <v>25</v>
      </c>
      <c r="K38" t="s">
        <v>54</v>
      </c>
      <c r="L38" s="8">
        <v>45407</v>
      </c>
      <c r="M38" s="9" t="str">
        <f t="shared" si="1"/>
        <v>Apr</v>
      </c>
    </row>
    <row r="39" spans="2:13">
      <c r="B39" t="s">
        <v>127</v>
      </c>
      <c r="C39">
        <v>66</v>
      </c>
      <c r="D39" t="s">
        <v>20</v>
      </c>
      <c r="E39" t="s">
        <v>13</v>
      </c>
      <c r="F39" s="8">
        <v>45304</v>
      </c>
      <c r="G39">
        <v>1</v>
      </c>
      <c r="H39">
        <v>406193</v>
      </c>
      <c r="I39" t="s">
        <v>29</v>
      </c>
      <c r="J39" t="s">
        <v>25</v>
      </c>
      <c r="K39" t="s">
        <v>54</v>
      </c>
      <c r="L39" s="8">
        <v>45305</v>
      </c>
      <c r="M39" s="9" t="str">
        <f t="shared" si="1"/>
        <v>Jan</v>
      </c>
    </row>
    <row r="40" spans="2:13">
      <c r="B40" t="s">
        <v>128</v>
      </c>
      <c r="C40">
        <v>44</v>
      </c>
      <c r="D40" t="s">
        <v>24</v>
      </c>
      <c r="E40" t="s">
        <v>15</v>
      </c>
      <c r="F40" s="8">
        <v>45314</v>
      </c>
      <c r="G40">
        <v>5</v>
      </c>
      <c r="H40">
        <v>46734</v>
      </c>
      <c r="I40" t="s">
        <v>26</v>
      </c>
      <c r="J40" t="s">
        <v>10</v>
      </c>
      <c r="K40" t="s">
        <v>54</v>
      </c>
      <c r="L40" s="8">
        <v>45319</v>
      </c>
      <c r="M40" s="9" t="str">
        <f t="shared" si="1"/>
        <v>Jan</v>
      </c>
    </row>
    <row r="41" spans="2:13">
      <c r="B41" t="s">
        <v>129</v>
      </c>
      <c r="C41">
        <v>76</v>
      </c>
      <c r="D41" t="s">
        <v>24</v>
      </c>
      <c r="E41" t="s">
        <v>16</v>
      </c>
      <c r="F41" s="8">
        <v>45390</v>
      </c>
      <c r="G41">
        <v>14</v>
      </c>
      <c r="H41">
        <v>419587</v>
      </c>
      <c r="I41" t="s">
        <v>22</v>
      </c>
      <c r="J41" t="s">
        <v>28</v>
      </c>
      <c r="K41" t="s">
        <v>54</v>
      </c>
      <c r="L41" s="8">
        <v>45404</v>
      </c>
      <c r="M41" s="9" t="str">
        <f t="shared" si="1"/>
        <v>Apr</v>
      </c>
    </row>
    <row r="42" spans="2:13">
      <c r="B42" t="s">
        <v>130</v>
      </c>
      <c r="C42">
        <v>59</v>
      </c>
      <c r="D42" t="s">
        <v>24</v>
      </c>
      <c r="E42" t="s">
        <v>16</v>
      </c>
      <c r="F42" s="8">
        <v>45396</v>
      </c>
      <c r="G42">
        <v>9</v>
      </c>
      <c r="H42">
        <v>46069</v>
      </c>
      <c r="I42" t="s">
        <v>32</v>
      </c>
      <c r="J42" t="s">
        <v>28</v>
      </c>
      <c r="K42" t="s">
        <v>54</v>
      </c>
      <c r="L42" s="8">
        <v>45405</v>
      </c>
      <c r="M42" s="9" t="str">
        <f t="shared" si="1"/>
        <v>Apr</v>
      </c>
    </row>
    <row r="43" spans="2:13">
      <c r="B43" t="s">
        <v>131</v>
      </c>
      <c r="C43">
        <v>45</v>
      </c>
      <c r="D43" t="s">
        <v>24</v>
      </c>
      <c r="E43" t="s">
        <v>13</v>
      </c>
      <c r="F43" s="8">
        <v>45321</v>
      </c>
      <c r="G43">
        <v>14</v>
      </c>
      <c r="H43">
        <v>230977</v>
      </c>
      <c r="I43" t="s">
        <v>32</v>
      </c>
      <c r="J43" t="s">
        <v>21</v>
      </c>
      <c r="K43" t="s">
        <v>54</v>
      </c>
      <c r="L43" s="8">
        <v>45335</v>
      </c>
      <c r="M43" s="9" t="str">
        <f t="shared" si="1"/>
        <v>Jan</v>
      </c>
    </row>
    <row r="44" spans="2:13">
      <c r="B44" t="s">
        <v>132</v>
      </c>
      <c r="C44">
        <v>77</v>
      </c>
      <c r="D44" t="s">
        <v>20</v>
      </c>
      <c r="E44" t="s">
        <v>13</v>
      </c>
      <c r="F44" s="8">
        <v>45308</v>
      </c>
      <c r="G44">
        <v>1</v>
      </c>
      <c r="H44">
        <v>32910</v>
      </c>
      <c r="I44" t="s">
        <v>26</v>
      </c>
      <c r="J44" t="s">
        <v>10</v>
      </c>
      <c r="K44" t="s">
        <v>54</v>
      </c>
      <c r="L44" s="8">
        <v>45309</v>
      </c>
      <c r="M44" s="9" t="str">
        <f t="shared" si="1"/>
        <v>Jan</v>
      </c>
    </row>
    <row r="45" spans="2:13">
      <c r="B45" t="s">
        <v>133</v>
      </c>
      <c r="C45">
        <v>33</v>
      </c>
      <c r="D45" t="s">
        <v>24</v>
      </c>
      <c r="E45" t="s">
        <v>12</v>
      </c>
      <c r="F45" s="8">
        <v>45404</v>
      </c>
      <c r="G45">
        <v>3</v>
      </c>
      <c r="H45">
        <v>355623</v>
      </c>
      <c r="I45" t="s">
        <v>29</v>
      </c>
      <c r="J45" t="s">
        <v>25</v>
      </c>
      <c r="K45" t="s">
        <v>54</v>
      </c>
      <c r="L45" s="8">
        <v>45407</v>
      </c>
      <c r="M45" s="9" t="str">
        <f t="shared" si="1"/>
        <v>Apr</v>
      </c>
    </row>
    <row r="46" spans="2:13">
      <c r="B46" t="s">
        <v>134</v>
      </c>
      <c r="C46">
        <v>32</v>
      </c>
      <c r="D46" t="s">
        <v>20</v>
      </c>
      <c r="E46" t="s">
        <v>12</v>
      </c>
      <c r="F46" s="8">
        <v>45353</v>
      </c>
      <c r="G46">
        <v>13</v>
      </c>
      <c r="H46">
        <v>490951</v>
      </c>
      <c r="I46" t="s">
        <v>22</v>
      </c>
      <c r="J46" t="s">
        <v>10</v>
      </c>
      <c r="K46" t="s">
        <v>54</v>
      </c>
      <c r="L46" s="8">
        <v>45366</v>
      </c>
      <c r="M46" s="9" t="str">
        <f t="shared" si="1"/>
        <v>Mar</v>
      </c>
    </row>
    <row r="47" spans="2:13">
      <c r="B47" t="s">
        <v>135</v>
      </c>
      <c r="C47">
        <v>79</v>
      </c>
      <c r="D47" t="s">
        <v>24</v>
      </c>
      <c r="E47" t="s">
        <v>15</v>
      </c>
      <c r="F47" s="8">
        <v>45375</v>
      </c>
      <c r="G47">
        <v>13</v>
      </c>
      <c r="H47">
        <v>101264</v>
      </c>
      <c r="I47" t="s">
        <v>29</v>
      </c>
      <c r="J47" t="s">
        <v>21</v>
      </c>
      <c r="K47" t="s">
        <v>54</v>
      </c>
      <c r="L47" s="8">
        <v>45388</v>
      </c>
      <c r="M47" s="9" t="str">
        <f t="shared" si="1"/>
        <v>Mar</v>
      </c>
    </row>
    <row r="48" spans="2:13">
      <c r="B48" t="s">
        <v>136</v>
      </c>
      <c r="C48">
        <v>79</v>
      </c>
      <c r="D48" t="s">
        <v>24</v>
      </c>
      <c r="E48" t="s">
        <v>13</v>
      </c>
      <c r="F48" s="8">
        <v>45403</v>
      </c>
      <c r="G48">
        <v>4</v>
      </c>
      <c r="H48">
        <v>43275</v>
      </c>
      <c r="I48" t="s">
        <v>29</v>
      </c>
      <c r="J48" t="s">
        <v>21</v>
      </c>
      <c r="K48" t="s">
        <v>54</v>
      </c>
      <c r="L48" s="8">
        <v>45407</v>
      </c>
      <c r="M48" s="9" t="str">
        <f t="shared" si="1"/>
        <v>Apr</v>
      </c>
    </row>
    <row r="49" spans="2:13">
      <c r="B49" t="s">
        <v>137</v>
      </c>
      <c r="C49">
        <v>64</v>
      </c>
      <c r="D49" t="s">
        <v>24</v>
      </c>
      <c r="E49" t="s">
        <v>16</v>
      </c>
      <c r="F49" s="8">
        <v>45377</v>
      </c>
      <c r="G49">
        <v>14</v>
      </c>
      <c r="H49">
        <v>92274</v>
      </c>
      <c r="I49" t="s">
        <v>29</v>
      </c>
      <c r="J49" t="s">
        <v>10</v>
      </c>
      <c r="K49" t="s">
        <v>54</v>
      </c>
      <c r="L49" s="8">
        <v>45391</v>
      </c>
      <c r="M49" s="9" t="str">
        <f t="shared" si="1"/>
        <v>Mar</v>
      </c>
    </row>
    <row r="50" spans="2:13">
      <c r="B50" t="s">
        <v>138</v>
      </c>
      <c r="C50">
        <v>79</v>
      </c>
      <c r="D50" t="s">
        <v>24</v>
      </c>
      <c r="E50" t="s">
        <v>12</v>
      </c>
      <c r="F50" s="8">
        <v>45432</v>
      </c>
      <c r="G50">
        <v>1</v>
      </c>
      <c r="H50">
        <v>494665</v>
      </c>
      <c r="I50" t="s">
        <v>29</v>
      </c>
      <c r="J50" t="s">
        <v>10</v>
      </c>
      <c r="K50" t="s">
        <v>54</v>
      </c>
      <c r="L50" s="8">
        <v>45433</v>
      </c>
      <c r="M50" s="9" t="str">
        <f t="shared" si="1"/>
        <v>May</v>
      </c>
    </row>
    <row r="51" spans="2:13">
      <c r="B51" t="s">
        <v>139</v>
      </c>
      <c r="C51">
        <v>68</v>
      </c>
      <c r="D51" t="s">
        <v>20</v>
      </c>
      <c r="E51" t="s">
        <v>12</v>
      </c>
      <c r="F51" s="8">
        <v>45310</v>
      </c>
      <c r="G51">
        <v>1</v>
      </c>
      <c r="H51">
        <v>382920</v>
      </c>
      <c r="I51" t="s">
        <v>32</v>
      </c>
      <c r="J51" t="s">
        <v>10</v>
      </c>
      <c r="K51" t="s">
        <v>54</v>
      </c>
      <c r="L51" s="8">
        <v>45311</v>
      </c>
      <c r="M51" s="9" t="str">
        <f t="shared" si="1"/>
        <v>Jan</v>
      </c>
    </row>
    <row r="52" spans="2:13">
      <c r="B52" t="s">
        <v>140</v>
      </c>
      <c r="C52">
        <v>61</v>
      </c>
      <c r="D52" t="s">
        <v>20</v>
      </c>
      <c r="E52" t="s">
        <v>16</v>
      </c>
      <c r="F52" s="8">
        <v>45468</v>
      </c>
      <c r="G52">
        <v>8</v>
      </c>
      <c r="H52">
        <v>211076</v>
      </c>
      <c r="I52" t="s">
        <v>32</v>
      </c>
      <c r="J52" t="s">
        <v>28</v>
      </c>
      <c r="K52" t="s">
        <v>54</v>
      </c>
      <c r="L52" s="8">
        <v>45476</v>
      </c>
      <c r="M52" s="9" t="str">
        <f t="shared" si="1"/>
        <v>Jun</v>
      </c>
    </row>
    <row r="53" spans="2:13">
      <c r="B53" t="s">
        <v>141</v>
      </c>
      <c r="C53">
        <v>72</v>
      </c>
      <c r="D53" t="s">
        <v>24</v>
      </c>
      <c r="E53" t="s">
        <v>12</v>
      </c>
      <c r="F53" s="8">
        <v>45391</v>
      </c>
      <c r="G53">
        <v>2</v>
      </c>
      <c r="H53">
        <v>214053</v>
      </c>
      <c r="I53" t="s">
        <v>29</v>
      </c>
      <c r="J53" t="s">
        <v>25</v>
      </c>
      <c r="K53" t="s">
        <v>54</v>
      </c>
      <c r="L53" s="8">
        <v>45393</v>
      </c>
      <c r="M53" s="9" t="str">
        <f t="shared" si="1"/>
        <v>Apr</v>
      </c>
    </row>
    <row r="54" spans="2:13">
      <c r="B54" t="s">
        <v>142</v>
      </c>
      <c r="C54">
        <v>69</v>
      </c>
      <c r="D54" t="s">
        <v>24</v>
      </c>
      <c r="E54" t="s">
        <v>15</v>
      </c>
      <c r="F54" s="8">
        <v>45431</v>
      </c>
      <c r="G54">
        <v>12</v>
      </c>
      <c r="H54">
        <v>497875</v>
      </c>
      <c r="I54" t="s">
        <v>22</v>
      </c>
      <c r="J54" t="s">
        <v>10</v>
      </c>
      <c r="K54" t="s">
        <v>54</v>
      </c>
      <c r="L54" s="8">
        <v>45443</v>
      </c>
      <c r="M54" s="9" t="str">
        <f t="shared" si="1"/>
        <v>May</v>
      </c>
    </row>
    <row r="55" spans="2:13">
      <c r="B55" t="s">
        <v>143</v>
      </c>
      <c r="C55">
        <v>74</v>
      </c>
      <c r="D55" t="s">
        <v>20</v>
      </c>
      <c r="E55" t="s">
        <v>13</v>
      </c>
      <c r="F55" s="8">
        <v>45438</v>
      </c>
      <c r="G55">
        <v>8</v>
      </c>
      <c r="H55">
        <v>205625</v>
      </c>
      <c r="I55" t="s">
        <v>26</v>
      </c>
      <c r="J55" t="s">
        <v>10</v>
      </c>
      <c r="K55" t="s">
        <v>54</v>
      </c>
      <c r="L55" s="8">
        <v>45446</v>
      </c>
      <c r="M55" s="9" t="str">
        <f t="shared" si="1"/>
        <v>May</v>
      </c>
    </row>
    <row r="56" spans="2:13">
      <c r="B56" t="s">
        <v>144</v>
      </c>
      <c r="C56">
        <v>20</v>
      </c>
      <c r="D56" t="s">
        <v>24</v>
      </c>
      <c r="E56" t="s">
        <v>16</v>
      </c>
      <c r="F56" s="8">
        <v>45367</v>
      </c>
      <c r="G56">
        <v>7</v>
      </c>
      <c r="H56">
        <v>68447</v>
      </c>
      <c r="I56" t="s">
        <v>22</v>
      </c>
      <c r="J56" t="s">
        <v>10</v>
      </c>
      <c r="K56" t="s">
        <v>54</v>
      </c>
      <c r="L56" s="8">
        <v>45374</v>
      </c>
      <c r="M56" s="9" t="str">
        <f t="shared" si="1"/>
        <v>Mar</v>
      </c>
    </row>
    <row r="57" spans="2:13">
      <c r="B57" t="s">
        <v>145</v>
      </c>
      <c r="C57">
        <v>54</v>
      </c>
      <c r="D57" t="s">
        <v>24</v>
      </c>
      <c r="E57" t="s">
        <v>13</v>
      </c>
      <c r="F57" s="8">
        <v>45300</v>
      </c>
      <c r="G57">
        <v>10</v>
      </c>
      <c r="H57">
        <v>447745</v>
      </c>
      <c r="I57" t="s">
        <v>22</v>
      </c>
      <c r="J57" t="s">
        <v>21</v>
      </c>
      <c r="K57" t="s">
        <v>54</v>
      </c>
      <c r="L57" s="8">
        <v>45310</v>
      </c>
      <c r="M57" s="9" t="str">
        <f t="shared" si="1"/>
        <v>Jan</v>
      </c>
    </row>
    <row r="58" spans="2:13">
      <c r="B58" t="s">
        <v>146</v>
      </c>
      <c r="C58">
        <v>68</v>
      </c>
      <c r="D58" t="s">
        <v>24</v>
      </c>
      <c r="E58" t="s">
        <v>12</v>
      </c>
      <c r="F58" s="8">
        <v>45319</v>
      </c>
      <c r="G58">
        <v>10</v>
      </c>
      <c r="H58">
        <v>408538</v>
      </c>
      <c r="I58" t="s">
        <v>22</v>
      </c>
      <c r="J58" t="s">
        <v>21</v>
      </c>
      <c r="K58" t="s">
        <v>54</v>
      </c>
      <c r="L58" s="8">
        <v>45329</v>
      </c>
      <c r="M58" s="9" t="str">
        <f t="shared" si="1"/>
        <v>Jan</v>
      </c>
    </row>
    <row r="59" spans="2:13">
      <c r="B59" t="s">
        <v>147</v>
      </c>
      <c r="C59">
        <v>24</v>
      </c>
      <c r="D59" t="s">
        <v>20</v>
      </c>
      <c r="E59" t="s">
        <v>12</v>
      </c>
      <c r="F59" s="8">
        <v>45419</v>
      </c>
      <c r="G59">
        <v>2</v>
      </c>
      <c r="H59">
        <v>95703</v>
      </c>
      <c r="I59" t="s">
        <v>29</v>
      </c>
      <c r="J59" t="s">
        <v>28</v>
      </c>
      <c r="K59" t="s">
        <v>54</v>
      </c>
      <c r="L59" s="8">
        <v>45421</v>
      </c>
      <c r="M59" s="9" t="str">
        <f t="shared" si="1"/>
        <v>May</v>
      </c>
    </row>
    <row r="60" spans="2:13">
      <c r="B60" t="s">
        <v>148</v>
      </c>
      <c r="C60">
        <v>38</v>
      </c>
      <c r="D60" t="s">
        <v>20</v>
      </c>
      <c r="E60" t="s">
        <v>16</v>
      </c>
      <c r="F60" s="8">
        <v>45343</v>
      </c>
      <c r="G60">
        <v>6</v>
      </c>
      <c r="H60">
        <v>358234</v>
      </c>
      <c r="I60" t="s">
        <v>32</v>
      </c>
      <c r="J60" t="s">
        <v>25</v>
      </c>
      <c r="K60" t="s">
        <v>53</v>
      </c>
      <c r="L60" s="8">
        <v>45349</v>
      </c>
      <c r="M60" s="9" t="str">
        <f t="shared" si="1"/>
        <v>Feb</v>
      </c>
    </row>
    <row r="61" spans="2:13">
      <c r="B61" t="s">
        <v>149</v>
      </c>
      <c r="C61">
        <v>26</v>
      </c>
      <c r="D61" t="s">
        <v>20</v>
      </c>
      <c r="E61" t="s">
        <v>15</v>
      </c>
      <c r="F61" s="8">
        <v>45374</v>
      </c>
      <c r="G61">
        <v>6</v>
      </c>
      <c r="H61">
        <v>299404</v>
      </c>
      <c r="I61" t="s">
        <v>22</v>
      </c>
      <c r="J61" t="s">
        <v>28</v>
      </c>
      <c r="K61" t="s">
        <v>54</v>
      </c>
      <c r="L61" s="8">
        <v>45380</v>
      </c>
      <c r="M61" s="9" t="str">
        <f t="shared" si="1"/>
        <v>Mar</v>
      </c>
    </row>
    <row r="62" spans="2:13">
      <c r="B62" t="s">
        <v>150</v>
      </c>
      <c r="C62">
        <v>56</v>
      </c>
      <c r="D62" t="s">
        <v>24</v>
      </c>
      <c r="E62" t="s">
        <v>14</v>
      </c>
      <c r="F62" s="8">
        <v>45402</v>
      </c>
      <c r="G62">
        <v>3</v>
      </c>
      <c r="H62">
        <v>132581</v>
      </c>
      <c r="I62" t="s">
        <v>29</v>
      </c>
      <c r="J62" t="s">
        <v>25</v>
      </c>
      <c r="K62" t="s">
        <v>53</v>
      </c>
      <c r="L62" s="8">
        <v>45405</v>
      </c>
      <c r="M62" s="9" t="str">
        <f t="shared" si="1"/>
        <v>Apr</v>
      </c>
    </row>
    <row r="63" spans="2:13">
      <c r="B63" t="s">
        <v>151</v>
      </c>
      <c r="C63">
        <v>35</v>
      </c>
      <c r="D63" t="s">
        <v>24</v>
      </c>
      <c r="E63" t="s">
        <v>16</v>
      </c>
      <c r="F63" s="8">
        <v>45435</v>
      </c>
      <c r="G63">
        <v>11</v>
      </c>
      <c r="H63">
        <v>285956</v>
      </c>
      <c r="I63" t="s">
        <v>22</v>
      </c>
      <c r="J63" t="s">
        <v>21</v>
      </c>
      <c r="K63" t="s">
        <v>54</v>
      </c>
      <c r="L63" s="8">
        <v>45446</v>
      </c>
      <c r="M63" s="9" t="str">
        <f t="shared" si="1"/>
        <v>May</v>
      </c>
    </row>
    <row r="64" spans="2:13">
      <c r="B64" t="s">
        <v>152</v>
      </c>
      <c r="C64">
        <v>21</v>
      </c>
      <c r="D64" t="s">
        <v>20</v>
      </c>
      <c r="E64" t="s">
        <v>14</v>
      </c>
      <c r="F64" s="8">
        <v>45408</v>
      </c>
      <c r="G64">
        <v>2</v>
      </c>
      <c r="H64">
        <v>441240</v>
      </c>
      <c r="I64" t="s">
        <v>22</v>
      </c>
      <c r="J64" t="s">
        <v>21</v>
      </c>
      <c r="K64" t="s">
        <v>54</v>
      </c>
      <c r="L64" s="8">
        <v>45410</v>
      </c>
      <c r="M64" s="9" t="str">
        <f t="shared" si="1"/>
        <v>Apr</v>
      </c>
    </row>
    <row r="65" spans="2:13">
      <c r="B65" t="s">
        <v>153</v>
      </c>
      <c r="C65">
        <v>42</v>
      </c>
      <c r="D65" t="s">
        <v>20</v>
      </c>
      <c r="E65" t="s">
        <v>14</v>
      </c>
      <c r="F65" s="8">
        <v>45360</v>
      </c>
      <c r="G65">
        <v>12</v>
      </c>
      <c r="H65">
        <v>209728</v>
      </c>
      <c r="I65" t="s">
        <v>29</v>
      </c>
      <c r="J65" t="s">
        <v>21</v>
      </c>
      <c r="K65" t="s">
        <v>54</v>
      </c>
      <c r="L65" s="8">
        <v>45372</v>
      </c>
      <c r="M65" s="9" t="str">
        <f t="shared" si="1"/>
        <v>Mar</v>
      </c>
    </row>
    <row r="66" spans="2:13">
      <c r="B66" t="s">
        <v>154</v>
      </c>
      <c r="C66">
        <v>77</v>
      </c>
      <c r="D66" t="s">
        <v>20</v>
      </c>
      <c r="E66" t="s">
        <v>15</v>
      </c>
      <c r="F66" s="8">
        <v>45390</v>
      </c>
      <c r="G66">
        <v>1</v>
      </c>
      <c r="H66">
        <v>398292</v>
      </c>
      <c r="I66" t="s">
        <v>32</v>
      </c>
      <c r="J66" t="s">
        <v>28</v>
      </c>
      <c r="K66" t="s">
        <v>54</v>
      </c>
      <c r="L66" s="8">
        <v>45391</v>
      </c>
      <c r="M66" s="9" t="str">
        <f t="shared" ref="M66:M97" si="2">TEXT(F66,"MMM")</f>
        <v>Apr</v>
      </c>
    </row>
    <row r="67" spans="2:13">
      <c r="B67" t="s">
        <v>155</v>
      </c>
      <c r="C67">
        <v>31</v>
      </c>
      <c r="D67" t="s">
        <v>20</v>
      </c>
      <c r="E67" t="s">
        <v>14</v>
      </c>
      <c r="F67" s="8">
        <v>45431</v>
      </c>
      <c r="G67">
        <v>6</v>
      </c>
      <c r="H67">
        <v>440501</v>
      </c>
      <c r="I67" t="s">
        <v>32</v>
      </c>
      <c r="J67" t="s">
        <v>10</v>
      </c>
      <c r="K67" t="s">
        <v>54</v>
      </c>
      <c r="L67" s="8">
        <v>45437</v>
      </c>
      <c r="M67" s="9" t="str">
        <f t="shared" si="2"/>
        <v>May</v>
      </c>
    </row>
    <row r="68" spans="2:13">
      <c r="B68" t="s">
        <v>156</v>
      </c>
      <c r="C68">
        <v>67</v>
      </c>
      <c r="D68" t="s">
        <v>24</v>
      </c>
      <c r="E68" t="s">
        <v>14</v>
      </c>
      <c r="F68" s="8">
        <v>45316</v>
      </c>
      <c r="G68">
        <v>12</v>
      </c>
      <c r="H68">
        <v>136421</v>
      </c>
      <c r="I68" t="s">
        <v>26</v>
      </c>
      <c r="J68" t="s">
        <v>10</v>
      </c>
      <c r="K68" t="s">
        <v>54</v>
      </c>
      <c r="L68" s="8">
        <v>45328</v>
      </c>
      <c r="M68" s="9" t="str">
        <f t="shared" si="2"/>
        <v>Jan</v>
      </c>
    </row>
    <row r="69" spans="2:13">
      <c r="B69" t="s">
        <v>157</v>
      </c>
      <c r="C69">
        <v>75</v>
      </c>
      <c r="D69" t="s">
        <v>20</v>
      </c>
      <c r="E69" t="s">
        <v>15</v>
      </c>
      <c r="F69" s="8">
        <v>45471</v>
      </c>
      <c r="G69">
        <v>5</v>
      </c>
      <c r="H69">
        <v>21605</v>
      </c>
      <c r="I69" t="s">
        <v>29</v>
      </c>
      <c r="J69" t="s">
        <v>21</v>
      </c>
      <c r="K69" t="s">
        <v>54</v>
      </c>
      <c r="L69" s="8">
        <v>45476</v>
      </c>
      <c r="M69" s="9" t="str">
        <f t="shared" si="2"/>
        <v>Jun</v>
      </c>
    </row>
    <row r="70" spans="2:13">
      <c r="B70" t="s">
        <v>158</v>
      </c>
      <c r="C70">
        <v>26</v>
      </c>
      <c r="D70" t="s">
        <v>24</v>
      </c>
      <c r="E70" t="s">
        <v>14</v>
      </c>
      <c r="F70" s="8">
        <v>45414</v>
      </c>
      <c r="G70">
        <v>14</v>
      </c>
      <c r="H70">
        <v>484374</v>
      </c>
      <c r="I70" t="s">
        <v>26</v>
      </c>
      <c r="J70" t="s">
        <v>10</v>
      </c>
      <c r="K70" t="s">
        <v>54</v>
      </c>
      <c r="L70" s="8">
        <v>45428</v>
      </c>
      <c r="M70" s="9" t="str">
        <f t="shared" si="2"/>
        <v>May</v>
      </c>
    </row>
    <row r="71" spans="2:13">
      <c r="B71" t="s">
        <v>159</v>
      </c>
      <c r="C71">
        <v>43</v>
      </c>
      <c r="D71" t="s">
        <v>20</v>
      </c>
      <c r="E71" t="s">
        <v>14</v>
      </c>
      <c r="F71" s="8">
        <v>45344</v>
      </c>
      <c r="G71">
        <v>14</v>
      </c>
      <c r="H71">
        <v>92303</v>
      </c>
      <c r="I71" t="s">
        <v>26</v>
      </c>
      <c r="J71" t="s">
        <v>10</v>
      </c>
      <c r="K71" t="s">
        <v>54</v>
      </c>
      <c r="L71" s="8">
        <v>45358</v>
      </c>
      <c r="M71" s="9" t="str">
        <f t="shared" si="2"/>
        <v>Feb</v>
      </c>
    </row>
    <row r="72" spans="2:13">
      <c r="B72" t="s">
        <v>160</v>
      </c>
      <c r="C72">
        <v>70</v>
      </c>
      <c r="D72" t="s">
        <v>24</v>
      </c>
      <c r="E72" t="s">
        <v>14</v>
      </c>
      <c r="F72" s="8">
        <v>45442</v>
      </c>
      <c r="G72">
        <v>11</v>
      </c>
      <c r="H72">
        <v>178211</v>
      </c>
      <c r="I72" t="s">
        <v>26</v>
      </c>
      <c r="J72" t="s">
        <v>28</v>
      </c>
      <c r="K72" t="s">
        <v>54</v>
      </c>
      <c r="L72" s="8">
        <v>45453</v>
      </c>
      <c r="M72" s="9" t="str">
        <f t="shared" si="2"/>
        <v>May</v>
      </c>
    </row>
    <row r="73" spans="2:13">
      <c r="B73" t="s">
        <v>161</v>
      </c>
      <c r="C73">
        <v>19</v>
      </c>
      <c r="D73" t="s">
        <v>20</v>
      </c>
      <c r="E73" t="s">
        <v>16</v>
      </c>
      <c r="F73" s="8">
        <v>45435</v>
      </c>
      <c r="G73">
        <v>9</v>
      </c>
      <c r="H73">
        <v>490365</v>
      </c>
      <c r="I73" t="s">
        <v>32</v>
      </c>
      <c r="J73" t="s">
        <v>25</v>
      </c>
      <c r="K73" t="s">
        <v>54</v>
      </c>
      <c r="L73" s="8">
        <v>45444</v>
      </c>
      <c r="M73" s="9" t="str">
        <f t="shared" si="2"/>
        <v>May</v>
      </c>
    </row>
    <row r="74" spans="2:13">
      <c r="B74" t="s">
        <v>162</v>
      </c>
      <c r="C74">
        <v>37</v>
      </c>
      <c r="D74" t="s">
        <v>20</v>
      </c>
      <c r="E74" t="s">
        <v>16</v>
      </c>
      <c r="F74" s="8">
        <v>45348</v>
      </c>
      <c r="G74">
        <v>1</v>
      </c>
      <c r="H74">
        <v>207210</v>
      </c>
      <c r="I74" t="s">
        <v>29</v>
      </c>
      <c r="J74" t="s">
        <v>21</v>
      </c>
      <c r="K74" t="s">
        <v>54</v>
      </c>
      <c r="L74" s="8">
        <v>45349</v>
      </c>
      <c r="M74" s="9" t="str">
        <f t="shared" si="2"/>
        <v>Feb</v>
      </c>
    </row>
    <row r="75" spans="2:13">
      <c r="B75" t="s">
        <v>163</v>
      </c>
      <c r="C75">
        <v>45</v>
      </c>
      <c r="D75" t="s">
        <v>20</v>
      </c>
      <c r="E75" t="s">
        <v>16</v>
      </c>
      <c r="F75" s="8">
        <v>45330</v>
      </c>
      <c r="G75">
        <v>7</v>
      </c>
      <c r="H75">
        <v>281949</v>
      </c>
      <c r="I75" t="s">
        <v>26</v>
      </c>
      <c r="J75" t="s">
        <v>21</v>
      </c>
      <c r="K75" t="s">
        <v>53</v>
      </c>
      <c r="L75" s="8">
        <v>45337</v>
      </c>
      <c r="M75" s="9" t="str">
        <f t="shared" si="2"/>
        <v>Feb</v>
      </c>
    </row>
    <row r="76" spans="2:13">
      <c r="B76" t="s">
        <v>164</v>
      </c>
      <c r="C76">
        <v>64</v>
      </c>
      <c r="D76" t="s">
        <v>20</v>
      </c>
      <c r="E76" t="s">
        <v>15</v>
      </c>
      <c r="F76" s="8">
        <v>45400</v>
      </c>
      <c r="G76">
        <v>5</v>
      </c>
      <c r="H76">
        <v>358269</v>
      </c>
      <c r="I76" t="s">
        <v>29</v>
      </c>
      <c r="J76" t="s">
        <v>28</v>
      </c>
      <c r="K76" t="s">
        <v>53</v>
      </c>
      <c r="L76" s="8">
        <v>45405</v>
      </c>
      <c r="M76" s="9" t="str">
        <f t="shared" si="2"/>
        <v>Apr</v>
      </c>
    </row>
    <row r="77" spans="2:13">
      <c r="B77" t="s">
        <v>165</v>
      </c>
      <c r="C77">
        <v>77</v>
      </c>
      <c r="D77" t="s">
        <v>24</v>
      </c>
      <c r="E77" t="s">
        <v>12</v>
      </c>
      <c r="F77" s="8">
        <v>45333</v>
      </c>
      <c r="G77">
        <v>5</v>
      </c>
      <c r="H77">
        <v>164990</v>
      </c>
      <c r="I77" t="s">
        <v>29</v>
      </c>
      <c r="J77" t="s">
        <v>28</v>
      </c>
      <c r="K77" t="s">
        <v>54</v>
      </c>
      <c r="L77" s="8">
        <v>45338</v>
      </c>
      <c r="M77" s="9" t="str">
        <f t="shared" si="2"/>
        <v>Feb</v>
      </c>
    </row>
    <row r="78" spans="2:13">
      <c r="B78" t="s">
        <v>166</v>
      </c>
      <c r="C78">
        <v>24</v>
      </c>
      <c r="D78" t="s">
        <v>20</v>
      </c>
      <c r="E78" t="s">
        <v>14</v>
      </c>
      <c r="F78" s="8">
        <v>45458</v>
      </c>
      <c r="G78">
        <v>14</v>
      </c>
      <c r="H78">
        <v>498871</v>
      </c>
      <c r="I78" t="s">
        <v>32</v>
      </c>
      <c r="J78" t="s">
        <v>10</v>
      </c>
      <c r="K78" t="s">
        <v>54</v>
      </c>
      <c r="L78" s="8">
        <v>45472</v>
      </c>
      <c r="M78" s="9" t="str">
        <f t="shared" si="2"/>
        <v>Jun</v>
      </c>
    </row>
    <row r="79" spans="2:13">
      <c r="B79" t="s">
        <v>167</v>
      </c>
      <c r="C79">
        <v>61</v>
      </c>
      <c r="D79" t="s">
        <v>24</v>
      </c>
      <c r="E79" t="s">
        <v>14</v>
      </c>
      <c r="F79" s="8">
        <v>45433</v>
      </c>
      <c r="G79">
        <v>2</v>
      </c>
      <c r="H79">
        <v>178518</v>
      </c>
      <c r="I79" t="s">
        <v>26</v>
      </c>
      <c r="J79" t="s">
        <v>21</v>
      </c>
      <c r="K79" t="s">
        <v>53</v>
      </c>
      <c r="L79" s="8">
        <v>45435</v>
      </c>
      <c r="M79" s="9" t="str">
        <f t="shared" si="2"/>
        <v>May</v>
      </c>
    </row>
    <row r="80" spans="2:13">
      <c r="B80" t="s">
        <v>168</v>
      </c>
      <c r="C80">
        <v>78</v>
      </c>
      <c r="D80" t="s">
        <v>24</v>
      </c>
      <c r="E80" t="s">
        <v>15</v>
      </c>
      <c r="F80" s="8">
        <v>45413</v>
      </c>
      <c r="G80">
        <v>11</v>
      </c>
      <c r="H80">
        <v>144040</v>
      </c>
      <c r="I80" t="s">
        <v>26</v>
      </c>
      <c r="J80" t="s">
        <v>25</v>
      </c>
      <c r="K80" t="s">
        <v>54</v>
      </c>
      <c r="L80" s="8">
        <v>45424</v>
      </c>
      <c r="M80" s="9" t="str">
        <f t="shared" si="2"/>
        <v>May</v>
      </c>
    </row>
    <row r="81" spans="2:13">
      <c r="B81" t="s">
        <v>169</v>
      </c>
      <c r="C81">
        <v>25</v>
      </c>
      <c r="D81" t="s">
        <v>24</v>
      </c>
      <c r="E81" t="s">
        <v>14</v>
      </c>
      <c r="F81" s="8">
        <v>45424</v>
      </c>
      <c r="G81">
        <v>3</v>
      </c>
      <c r="H81">
        <v>164118</v>
      </c>
      <c r="I81" t="s">
        <v>29</v>
      </c>
      <c r="J81" t="s">
        <v>28</v>
      </c>
      <c r="K81" t="s">
        <v>54</v>
      </c>
      <c r="L81" s="8">
        <v>45427</v>
      </c>
      <c r="M81" s="9" t="str">
        <f t="shared" si="2"/>
        <v>May</v>
      </c>
    </row>
    <row r="82" spans="2:13">
      <c r="B82" t="s">
        <v>170</v>
      </c>
      <c r="C82">
        <v>64</v>
      </c>
      <c r="D82" t="s">
        <v>24</v>
      </c>
      <c r="E82" t="s">
        <v>16</v>
      </c>
      <c r="F82" s="8">
        <v>45454</v>
      </c>
      <c r="G82">
        <v>7</v>
      </c>
      <c r="H82">
        <v>438034</v>
      </c>
      <c r="I82" t="s">
        <v>22</v>
      </c>
      <c r="J82" t="s">
        <v>25</v>
      </c>
      <c r="K82" t="s">
        <v>53</v>
      </c>
      <c r="L82" s="8">
        <v>45461</v>
      </c>
      <c r="M82" s="9" t="str">
        <f t="shared" si="2"/>
        <v>Jun</v>
      </c>
    </row>
    <row r="83" spans="2:13">
      <c r="B83" t="s">
        <v>171</v>
      </c>
      <c r="C83">
        <v>52</v>
      </c>
      <c r="D83" t="s">
        <v>20</v>
      </c>
      <c r="E83" t="s">
        <v>12</v>
      </c>
      <c r="F83" s="8">
        <v>45366</v>
      </c>
      <c r="G83">
        <v>6</v>
      </c>
      <c r="H83">
        <v>251966</v>
      </c>
      <c r="I83" t="s">
        <v>32</v>
      </c>
      <c r="J83" t="s">
        <v>25</v>
      </c>
      <c r="K83" t="s">
        <v>54</v>
      </c>
      <c r="L83" s="8">
        <v>45372</v>
      </c>
      <c r="M83" s="9" t="str">
        <f t="shared" si="2"/>
        <v>Mar</v>
      </c>
    </row>
    <row r="84" spans="2:13">
      <c r="B84" t="s">
        <v>172</v>
      </c>
      <c r="C84">
        <v>31</v>
      </c>
      <c r="D84" t="s">
        <v>24</v>
      </c>
      <c r="E84" t="s">
        <v>13</v>
      </c>
      <c r="F84" s="8">
        <v>45437</v>
      </c>
      <c r="G84">
        <v>12</v>
      </c>
      <c r="H84">
        <v>286468</v>
      </c>
      <c r="I84" t="s">
        <v>32</v>
      </c>
      <c r="J84" t="s">
        <v>21</v>
      </c>
      <c r="K84" t="s">
        <v>54</v>
      </c>
      <c r="L84" s="8">
        <v>45449</v>
      </c>
      <c r="M84" s="9" t="str">
        <f t="shared" si="2"/>
        <v>May</v>
      </c>
    </row>
    <row r="85" spans="2:13">
      <c r="B85" t="s">
        <v>173</v>
      </c>
      <c r="C85">
        <v>34</v>
      </c>
      <c r="D85" t="s">
        <v>24</v>
      </c>
      <c r="E85" t="s">
        <v>14</v>
      </c>
      <c r="F85" s="8">
        <v>45367</v>
      </c>
      <c r="G85">
        <v>2</v>
      </c>
      <c r="H85">
        <v>358467</v>
      </c>
      <c r="I85" t="s">
        <v>32</v>
      </c>
      <c r="J85" t="s">
        <v>21</v>
      </c>
      <c r="K85" t="s">
        <v>54</v>
      </c>
      <c r="L85" s="8">
        <v>45369</v>
      </c>
      <c r="M85" s="9" t="str">
        <f t="shared" si="2"/>
        <v>Mar</v>
      </c>
    </row>
    <row r="86" spans="2:13">
      <c r="B86" t="s">
        <v>174</v>
      </c>
      <c r="C86">
        <v>53</v>
      </c>
      <c r="D86" t="s">
        <v>24</v>
      </c>
      <c r="E86" t="s">
        <v>16</v>
      </c>
      <c r="F86" s="8">
        <v>45300</v>
      </c>
      <c r="G86">
        <v>6</v>
      </c>
      <c r="H86">
        <v>291255</v>
      </c>
      <c r="I86" t="s">
        <v>32</v>
      </c>
      <c r="J86" t="s">
        <v>28</v>
      </c>
      <c r="K86" t="s">
        <v>53</v>
      </c>
      <c r="L86" s="8">
        <v>45306</v>
      </c>
      <c r="M86" s="9" t="str">
        <f t="shared" si="2"/>
        <v>Jan</v>
      </c>
    </row>
    <row r="87" spans="2:13">
      <c r="B87" t="s">
        <v>175</v>
      </c>
      <c r="C87">
        <v>67</v>
      </c>
      <c r="D87" t="s">
        <v>20</v>
      </c>
      <c r="E87" t="s">
        <v>13</v>
      </c>
      <c r="F87" s="8">
        <v>45365</v>
      </c>
      <c r="G87">
        <v>2</v>
      </c>
      <c r="H87">
        <v>451326</v>
      </c>
      <c r="I87" t="s">
        <v>26</v>
      </c>
      <c r="J87" t="s">
        <v>21</v>
      </c>
      <c r="K87" t="s">
        <v>53</v>
      </c>
      <c r="L87" s="8">
        <v>45367</v>
      </c>
      <c r="M87" s="9" t="str">
        <f t="shared" si="2"/>
        <v>Mar</v>
      </c>
    </row>
    <row r="88" spans="2:13">
      <c r="B88" t="s">
        <v>176</v>
      </c>
      <c r="C88">
        <v>57</v>
      </c>
      <c r="D88" t="s">
        <v>20</v>
      </c>
      <c r="E88" t="s">
        <v>12</v>
      </c>
      <c r="F88" s="8">
        <v>45436</v>
      </c>
      <c r="G88">
        <v>2</v>
      </c>
      <c r="H88">
        <v>36389</v>
      </c>
      <c r="I88" t="s">
        <v>26</v>
      </c>
      <c r="J88" t="s">
        <v>21</v>
      </c>
      <c r="K88" t="s">
        <v>53</v>
      </c>
      <c r="L88" s="8">
        <v>45438</v>
      </c>
      <c r="M88" s="9" t="str">
        <f t="shared" si="2"/>
        <v>May</v>
      </c>
    </row>
    <row r="89" spans="2:13">
      <c r="B89" t="s">
        <v>177</v>
      </c>
      <c r="C89">
        <v>21</v>
      </c>
      <c r="D89" t="s">
        <v>20</v>
      </c>
      <c r="E89" t="s">
        <v>13</v>
      </c>
      <c r="F89" s="8">
        <v>45298</v>
      </c>
      <c r="G89">
        <v>2</v>
      </c>
      <c r="H89">
        <v>142177</v>
      </c>
      <c r="I89" t="s">
        <v>22</v>
      </c>
      <c r="J89" t="s">
        <v>21</v>
      </c>
      <c r="K89" t="s">
        <v>54</v>
      </c>
      <c r="L89" s="8">
        <v>45300</v>
      </c>
      <c r="M89" s="9" t="str">
        <f t="shared" si="2"/>
        <v>Jan</v>
      </c>
    </row>
    <row r="90" spans="2:13">
      <c r="B90" t="s">
        <v>178</v>
      </c>
      <c r="C90">
        <v>19</v>
      </c>
      <c r="D90" t="s">
        <v>20</v>
      </c>
      <c r="E90" t="s">
        <v>16</v>
      </c>
      <c r="F90" s="8">
        <v>45465</v>
      </c>
      <c r="G90">
        <v>14</v>
      </c>
      <c r="H90">
        <v>323571</v>
      </c>
      <c r="I90" t="s">
        <v>32</v>
      </c>
      <c r="J90" t="s">
        <v>25</v>
      </c>
      <c r="K90" t="s">
        <v>54</v>
      </c>
      <c r="L90" s="8">
        <v>45479</v>
      </c>
      <c r="M90" s="9" t="str">
        <f t="shared" si="2"/>
        <v>Jun</v>
      </c>
    </row>
    <row r="91" spans="2:13">
      <c r="B91" t="s">
        <v>179</v>
      </c>
      <c r="C91">
        <v>79</v>
      </c>
      <c r="D91" t="s">
        <v>24</v>
      </c>
      <c r="E91" t="s">
        <v>13</v>
      </c>
      <c r="F91" s="8">
        <v>45432</v>
      </c>
      <c r="G91">
        <v>11</v>
      </c>
      <c r="H91">
        <v>492795</v>
      </c>
      <c r="I91" t="s">
        <v>32</v>
      </c>
      <c r="J91" t="s">
        <v>28</v>
      </c>
      <c r="K91" t="s">
        <v>54</v>
      </c>
      <c r="L91" s="8">
        <v>45443</v>
      </c>
      <c r="M91" s="9" t="str">
        <f t="shared" si="2"/>
        <v>May</v>
      </c>
    </row>
    <row r="92" spans="2:13">
      <c r="B92" t="s">
        <v>180</v>
      </c>
      <c r="C92">
        <v>23</v>
      </c>
      <c r="D92" t="s">
        <v>24</v>
      </c>
      <c r="E92" t="s">
        <v>15</v>
      </c>
      <c r="F92" s="8">
        <v>45459</v>
      </c>
      <c r="G92">
        <v>3</v>
      </c>
      <c r="H92">
        <v>179818</v>
      </c>
      <c r="I92" t="s">
        <v>29</v>
      </c>
      <c r="J92" t="s">
        <v>10</v>
      </c>
      <c r="K92" t="s">
        <v>54</v>
      </c>
      <c r="L92" s="8">
        <v>45462</v>
      </c>
      <c r="M92" s="9" t="str">
        <f t="shared" si="2"/>
        <v>Jun</v>
      </c>
    </row>
    <row r="93" spans="2:13">
      <c r="B93" t="s">
        <v>181</v>
      </c>
      <c r="C93">
        <v>71</v>
      </c>
      <c r="D93" t="s">
        <v>20</v>
      </c>
      <c r="E93" t="s">
        <v>13</v>
      </c>
      <c r="F93" s="8">
        <v>45461</v>
      </c>
      <c r="G93">
        <v>2</v>
      </c>
      <c r="H93">
        <v>142883</v>
      </c>
      <c r="I93" t="s">
        <v>26</v>
      </c>
      <c r="J93" t="s">
        <v>25</v>
      </c>
      <c r="K93" t="s">
        <v>54</v>
      </c>
      <c r="L93" s="8">
        <v>45463</v>
      </c>
      <c r="M93" s="9" t="str">
        <f t="shared" si="2"/>
        <v>Jun</v>
      </c>
    </row>
    <row r="94" spans="2:13">
      <c r="B94" t="s">
        <v>182</v>
      </c>
      <c r="C94">
        <v>59</v>
      </c>
      <c r="D94" t="s">
        <v>24</v>
      </c>
      <c r="E94" t="s">
        <v>14</v>
      </c>
      <c r="F94" s="8">
        <v>45428</v>
      </c>
      <c r="G94">
        <v>4</v>
      </c>
      <c r="H94">
        <v>238958</v>
      </c>
      <c r="I94" t="s">
        <v>32</v>
      </c>
      <c r="J94" t="s">
        <v>21</v>
      </c>
      <c r="K94" t="s">
        <v>54</v>
      </c>
      <c r="L94" s="8">
        <v>45432</v>
      </c>
      <c r="M94" s="9" t="str">
        <f t="shared" si="2"/>
        <v>May</v>
      </c>
    </row>
    <row r="95" spans="2:13">
      <c r="B95" t="s">
        <v>183</v>
      </c>
      <c r="C95">
        <v>21</v>
      </c>
      <c r="D95" t="s">
        <v>24</v>
      </c>
      <c r="E95" t="s">
        <v>14</v>
      </c>
      <c r="F95" s="8">
        <v>45469</v>
      </c>
      <c r="G95">
        <v>9</v>
      </c>
      <c r="H95">
        <v>258213</v>
      </c>
      <c r="I95" t="s">
        <v>22</v>
      </c>
      <c r="J95" t="s">
        <v>25</v>
      </c>
      <c r="K95" t="s">
        <v>54</v>
      </c>
      <c r="L95" s="8">
        <v>45478</v>
      </c>
      <c r="M95" s="9" t="str">
        <f t="shared" si="2"/>
        <v>Jun</v>
      </c>
    </row>
    <row r="96" spans="2:13">
      <c r="B96" t="s">
        <v>184</v>
      </c>
      <c r="C96">
        <v>71</v>
      </c>
      <c r="D96" t="s">
        <v>24</v>
      </c>
      <c r="E96" t="s">
        <v>15</v>
      </c>
      <c r="F96" s="8">
        <v>45318</v>
      </c>
      <c r="G96">
        <v>6</v>
      </c>
      <c r="H96">
        <v>413333</v>
      </c>
      <c r="I96" t="s">
        <v>22</v>
      </c>
      <c r="J96" t="s">
        <v>21</v>
      </c>
      <c r="K96" t="s">
        <v>54</v>
      </c>
      <c r="L96" s="8">
        <v>45324</v>
      </c>
      <c r="M96" s="9" t="str">
        <f t="shared" si="2"/>
        <v>Jan</v>
      </c>
    </row>
    <row r="97" spans="2:13">
      <c r="B97" t="s">
        <v>185</v>
      </c>
      <c r="C97">
        <v>46</v>
      </c>
      <c r="D97" t="s">
        <v>20</v>
      </c>
      <c r="E97" t="s">
        <v>16</v>
      </c>
      <c r="F97" s="8">
        <v>45413</v>
      </c>
      <c r="G97">
        <v>1</v>
      </c>
      <c r="H97">
        <v>407952</v>
      </c>
      <c r="I97" t="s">
        <v>26</v>
      </c>
      <c r="J97" t="s">
        <v>21</v>
      </c>
      <c r="K97" t="s">
        <v>54</v>
      </c>
      <c r="L97" s="8">
        <v>45414</v>
      </c>
      <c r="M97" s="9" t="str">
        <f t="shared" si="2"/>
        <v>May</v>
      </c>
    </row>
    <row r="98" spans="2:13">
      <c r="B98" t="s">
        <v>186</v>
      </c>
      <c r="C98">
        <v>35</v>
      </c>
      <c r="D98" t="s">
        <v>20</v>
      </c>
      <c r="E98" t="s">
        <v>14</v>
      </c>
      <c r="F98" s="8">
        <v>45296</v>
      </c>
      <c r="G98">
        <v>8</v>
      </c>
      <c r="H98">
        <v>132221</v>
      </c>
      <c r="I98" t="s">
        <v>22</v>
      </c>
      <c r="J98" t="s">
        <v>25</v>
      </c>
      <c r="K98" t="s">
        <v>54</v>
      </c>
      <c r="L98" s="8">
        <v>45304</v>
      </c>
      <c r="M98" s="9" t="str">
        <f t="shared" ref="M98:M129" si="3">TEXT(F98,"MMM")</f>
        <v>Jan</v>
      </c>
    </row>
    <row r="99" spans="2:13">
      <c r="B99" t="s">
        <v>187</v>
      </c>
      <c r="C99">
        <v>43</v>
      </c>
      <c r="D99" t="s">
        <v>24</v>
      </c>
      <c r="E99" t="s">
        <v>12</v>
      </c>
      <c r="F99" s="8">
        <v>45320</v>
      </c>
      <c r="G99">
        <v>12</v>
      </c>
      <c r="H99">
        <v>497687</v>
      </c>
      <c r="I99" t="s">
        <v>22</v>
      </c>
      <c r="J99" t="s">
        <v>28</v>
      </c>
      <c r="K99" t="s">
        <v>54</v>
      </c>
      <c r="L99" s="8">
        <v>45332</v>
      </c>
      <c r="M99" s="9" t="str">
        <f t="shared" si="3"/>
        <v>Jan</v>
      </c>
    </row>
    <row r="100" spans="2:13">
      <c r="B100" t="s">
        <v>188</v>
      </c>
      <c r="C100">
        <v>61</v>
      </c>
      <c r="D100" t="s">
        <v>20</v>
      </c>
      <c r="E100" t="s">
        <v>14</v>
      </c>
      <c r="F100" s="8">
        <v>45456</v>
      </c>
      <c r="G100">
        <v>14</v>
      </c>
      <c r="H100">
        <v>295378</v>
      </c>
      <c r="I100" t="s">
        <v>26</v>
      </c>
      <c r="J100" t="s">
        <v>21</v>
      </c>
      <c r="K100" t="s">
        <v>54</v>
      </c>
      <c r="L100" s="8">
        <v>45470</v>
      </c>
      <c r="M100" s="9" t="str">
        <f t="shared" si="3"/>
        <v>Jun</v>
      </c>
    </row>
    <row r="101" spans="2:13">
      <c r="B101" t="s">
        <v>189</v>
      </c>
      <c r="C101">
        <v>51</v>
      </c>
      <c r="D101" t="s">
        <v>20</v>
      </c>
      <c r="E101" t="s">
        <v>14</v>
      </c>
      <c r="F101" s="8">
        <v>45457</v>
      </c>
      <c r="G101">
        <v>7</v>
      </c>
      <c r="H101">
        <v>280669</v>
      </c>
      <c r="I101" t="s">
        <v>32</v>
      </c>
      <c r="J101" t="s">
        <v>28</v>
      </c>
      <c r="K101" t="s">
        <v>54</v>
      </c>
      <c r="L101" s="8">
        <v>45464</v>
      </c>
      <c r="M101" s="9" t="str">
        <f t="shared" si="3"/>
        <v>Jun</v>
      </c>
    </row>
    <row r="102" spans="2:13">
      <c r="B102" t="s">
        <v>190</v>
      </c>
      <c r="C102">
        <v>27</v>
      </c>
      <c r="D102" t="s">
        <v>20</v>
      </c>
      <c r="E102" t="s">
        <v>16</v>
      </c>
      <c r="F102" s="8">
        <v>45374</v>
      </c>
      <c r="G102">
        <v>10</v>
      </c>
      <c r="H102">
        <v>254936</v>
      </c>
      <c r="I102" t="s">
        <v>32</v>
      </c>
      <c r="J102" t="s">
        <v>10</v>
      </c>
      <c r="K102" t="s">
        <v>54</v>
      </c>
      <c r="L102" s="8">
        <v>45384</v>
      </c>
      <c r="M102" s="9" t="str">
        <f t="shared" si="3"/>
        <v>Mar</v>
      </c>
    </row>
    <row r="103" spans="2:13">
      <c r="B103" t="s">
        <v>191</v>
      </c>
      <c r="C103">
        <v>79</v>
      </c>
      <c r="D103" t="s">
        <v>20</v>
      </c>
      <c r="E103" t="s">
        <v>13</v>
      </c>
      <c r="F103" s="8">
        <v>45427</v>
      </c>
      <c r="G103">
        <v>3</v>
      </c>
      <c r="H103">
        <v>335585</v>
      </c>
      <c r="I103" t="s">
        <v>22</v>
      </c>
      <c r="J103" t="s">
        <v>21</v>
      </c>
      <c r="K103" t="s">
        <v>54</v>
      </c>
      <c r="L103" s="8">
        <v>45430</v>
      </c>
      <c r="M103" s="9" t="str">
        <f t="shared" si="3"/>
        <v>May</v>
      </c>
    </row>
    <row r="104" spans="2:13">
      <c r="B104" t="s">
        <v>192</v>
      </c>
      <c r="C104">
        <v>53</v>
      </c>
      <c r="D104" t="s">
        <v>20</v>
      </c>
      <c r="E104" t="s">
        <v>14</v>
      </c>
      <c r="F104" s="8">
        <v>45400</v>
      </c>
      <c r="G104">
        <v>1</v>
      </c>
      <c r="H104">
        <v>20846</v>
      </c>
      <c r="I104" t="s">
        <v>22</v>
      </c>
      <c r="J104" t="s">
        <v>28</v>
      </c>
      <c r="K104" t="s">
        <v>54</v>
      </c>
      <c r="L104" s="8">
        <v>45401</v>
      </c>
      <c r="M104" s="9" t="str">
        <f t="shared" si="3"/>
        <v>Apr</v>
      </c>
    </row>
    <row r="105" spans="2:13">
      <c r="B105" t="s">
        <v>193</v>
      </c>
      <c r="C105">
        <v>31</v>
      </c>
      <c r="D105" t="s">
        <v>24</v>
      </c>
      <c r="E105" t="s">
        <v>15</v>
      </c>
      <c r="F105" s="8">
        <v>45356</v>
      </c>
      <c r="G105">
        <v>5</v>
      </c>
      <c r="H105">
        <v>30954</v>
      </c>
      <c r="I105" t="s">
        <v>32</v>
      </c>
      <c r="J105" t="s">
        <v>28</v>
      </c>
      <c r="K105" t="s">
        <v>54</v>
      </c>
      <c r="L105" s="8">
        <v>45361</v>
      </c>
      <c r="M105" s="9" t="str">
        <f t="shared" si="3"/>
        <v>Mar</v>
      </c>
    </row>
    <row r="106" spans="2:13">
      <c r="B106" t="s">
        <v>194</v>
      </c>
      <c r="C106">
        <v>48</v>
      </c>
      <c r="D106" t="s">
        <v>20</v>
      </c>
      <c r="E106" t="s">
        <v>13</v>
      </c>
      <c r="F106" s="8">
        <v>45377</v>
      </c>
      <c r="G106">
        <v>13</v>
      </c>
      <c r="H106">
        <v>361383</v>
      </c>
      <c r="I106" t="s">
        <v>26</v>
      </c>
      <c r="J106" t="s">
        <v>10</v>
      </c>
      <c r="K106" t="s">
        <v>54</v>
      </c>
      <c r="L106" s="8">
        <v>45390</v>
      </c>
      <c r="M106" s="9" t="str">
        <f t="shared" si="3"/>
        <v>Mar</v>
      </c>
    </row>
    <row r="107" spans="2:13">
      <c r="B107" t="s">
        <v>195</v>
      </c>
      <c r="C107">
        <v>65</v>
      </c>
      <c r="D107" t="s">
        <v>24</v>
      </c>
      <c r="E107" t="s">
        <v>12</v>
      </c>
      <c r="F107" s="8">
        <v>45436</v>
      </c>
      <c r="G107">
        <v>4</v>
      </c>
      <c r="H107">
        <v>264761</v>
      </c>
      <c r="I107" t="s">
        <v>22</v>
      </c>
      <c r="J107" t="s">
        <v>28</v>
      </c>
      <c r="K107" t="s">
        <v>54</v>
      </c>
      <c r="L107" s="8">
        <v>45440</v>
      </c>
      <c r="M107" s="9" t="str">
        <f t="shared" si="3"/>
        <v>May</v>
      </c>
    </row>
    <row r="108" spans="2:13">
      <c r="B108" t="s">
        <v>196</v>
      </c>
      <c r="C108">
        <v>32</v>
      </c>
      <c r="D108" t="s">
        <v>24</v>
      </c>
      <c r="E108" t="s">
        <v>16</v>
      </c>
      <c r="F108" s="8">
        <v>45362</v>
      </c>
      <c r="G108">
        <v>10</v>
      </c>
      <c r="H108">
        <v>328658</v>
      </c>
      <c r="I108" t="s">
        <v>29</v>
      </c>
      <c r="J108" t="s">
        <v>28</v>
      </c>
      <c r="K108" t="s">
        <v>54</v>
      </c>
      <c r="L108" s="8">
        <v>45372</v>
      </c>
      <c r="M108" s="9" t="str">
        <f t="shared" si="3"/>
        <v>Mar</v>
      </c>
    </row>
    <row r="109" spans="2:13">
      <c r="B109" t="s">
        <v>197</v>
      </c>
      <c r="C109">
        <v>25</v>
      </c>
      <c r="D109" t="s">
        <v>20</v>
      </c>
      <c r="E109" t="s">
        <v>12</v>
      </c>
      <c r="F109" s="8">
        <v>45336</v>
      </c>
      <c r="G109">
        <v>8</v>
      </c>
      <c r="H109">
        <v>370380</v>
      </c>
      <c r="I109" t="s">
        <v>26</v>
      </c>
      <c r="J109" t="s">
        <v>10</v>
      </c>
      <c r="K109" t="s">
        <v>54</v>
      </c>
      <c r="L109" s="8">
        <v>45344</v>
      </c>
      <c r="M109" s="9" t="str">
        <f t="shared" si="3"/>
        <v>Feb</v>
      </c>
    </row>
    <row r="110" spans="2:13">
      <c r="B110" t="s">
        <v>198</v>
      </c>
      <c r="C110">
        <v>31</v>
      </c>
      <c r="D110" t="s">
        <v>24</v>
      </c>
      <c r="E110" t="s">
        <v>13</v>
      </c>
      <c r="F110" s="8">
        <v>45423</v>
      </c>
      <c r="G110">
        <v>1</v>
      </c>
      <c r="H110">
        <v>379723</v>
      </c>
      <c r="I110" t="s">
        <v>22</v>
      </c>
      <c r="J110" t="s">
        <v>21</v>
      </c>
      <c r="K110" t="s">
        <v>54</v>
      </c>
      <c r="L110" s="8">
        <v>45424</v>
      </c>
      <c r="M110" s="9" t="str">
        <f t="shared" si="3"/>
        <v>May</v>
      </c>
    </row>
    <row r="111" spans="2:13">
      <c r="B111" t="s">
        <v>199</v>
      </c>
      <c r="C111">
        <v>40</v>
      </c>
      <c r="D111" t="s">
        <v>24</v>
      </c>
      <c r="E111" t="s">
        <v>13</v>
      </c>
      <c r="F111" s="8">
        <v>45327</v>
      </c>
      <c r="G111">
        <v>10</v>
      </c>
      <c r="H111">
        <v>157541</v>
      </c>
      <c r="I111" t="s">
        <v>22</v>
      </c>
      <c r="J111" t="s">
        <v>28</v>
      </c>
      <c r="K111" t="s">
        <v>54</v>
      </c>
      <c r="L111" s="8">
        <v>45337</v>
      </c>
      <c r="M111" s="9" t="str">
        <f t="shared" si="3"/>
        <v>Feb</v>
      </c>
    </row>
    <row r="112" spans="2:13">
      <c r="B112" t="s">
        <v>200</v>
      </c>
      <c r="C112">
        <v>77</v>
      </c>
      <c r="D112" t="s">
        <v>24</v>
      </c>
      <c r="E112" t="s">
        <v>13</v>
      </c>
      <c r="F112" s="8">
        <v>45361</v>
      </c>
      <c r="G112">
        <v>1</v>
      </c>
      <c r="H112">
        <v>443321</v>
      </c>
      <c r="I112" t="s">
        <v>29</v>
      </c>
      <c r="J112" t="s">
        <v>28</v>
      </c>
      <c r="K112" t="s">
        <v>54</v>
      </c>
      <c r="L112" s="8">
        <v>45362</v>
      </c>
      <c r="M112" s="9" t="str">
        <f t="shared" si="3"/>
        <v>Mar</v>
      </c>
    </row>
    <row r="113" spans="2:13">
      <c r="B113" t="s">
        <v>201</v>
      </c>
      <c r="C113">
        <v>74</v>
      </c>
      <c r="D113" t="s">
        <v>20</v>
      </c>
      <c r="E113" t="s">
        <v>12</v>
      </c>
      <c r="F113" s="8">
        <v>45450</v>
      </c>
      <c r="G113">
        <v>12</v>
      </c>
      <c r="H113">
        <v>324245</v>
      </c>
      <c r="I113" t="s">
        <v>29</v>
      </c>
      <c r="J113" t="s">
        <v>28</v>
      </c>
      <c r="K113" t="s">
        <v>54</v>
      </c>
      <c r="L113" s="8">
        <v>45462</v>
      </c>
      <c r="M113" s="9" t="str">
        <f t="shared" si="3"/>
        <v>Jun</v>
      </c>
    </row>
    <row r="114" spans="2:13">
      <c r="B114" t="s">
        <v>202</v>
      </c>
      <c r="C114">
        <v>79</v>
      </c>
      <c r="D114" t="s">
        <v>20</v>
      </c>
      <c r="E114" t="s">
        <v>13</v>
      </c>
      <c r="F114" s="8">
        <v>45310</v>
      </c>
      <c r="G114">
        <v>4</v>
      </c>
      <c r="H114">
        <v>84323</v>
      </c>
      <c r="I114" t="s">
        <v>32</v>
      </c>
      <c r="J114" t="s">
        <v>25</v>
      </c>
      <c r="K114" t="s">
        <v>54</v>
      </c>
      <c r="L114" s="8">
        <v>45314</v>
      </c>
      <c r="M114" s="9" t="str">
        <f t="shared" si="3"/>
        <v>Jan</v>
      </c>
    </row>
    <row r="115" spans="2:13">
      <c r="B115" t="s">
        <v>203</v>
      </c>
      <c r="C115">
        <v>57</v>
      </c>
      <c r="D115" t="s">
        <v>24</v>
      </c>
      <c r="E115" t="s">
        <v>12</v>
      </c>
      <c r="F115" s="8">
        <v>45399</v>
      </c>
      <c r="G115">
        <v>8</v>
      </c>
      <c r="H115">
        <v>111922</v>
      </c>
      <c r="I115" t="s">
        <v>26</v>
      </c>
      <c r="J115" t="s">
        <v>10</v>
      </c>
      <c r="K115" t="s">
        <v>54</v>
      </c>
      <c r="L115" s="8">
        <v>45407</v>
      </c>
      <c r="M115" s="9" t="str">
        <f t="shared" si="3"/>
        <v>Apr</v>
      </c>
    </row>
    <row r="116" spans="2:13">
      <c r="B116" t="s">
        <v>204</v>
      </c>
      <c r="C116">
        <v>38</v>
      </c>
      <c r="D116" t="s">
        <v>20</v>
      </c>
      <c r="E116" t="s">
        <v>13</v>
      </c>
      <c r="F116" s="8">
        <v>45458</v>
      </c>
      <c r="G116">
        <v>5</v>
      </c>
      <c r="H116">
        <v>209139</v>
      </c>
      <c r="I116" t="s">
        <v>26</v>
      </c>
      <c r="J116" t="s">
        <v>25</v>
      </c>
      <c r="K116" t="s">
        <v>53</v>
      </c>
      <c r="L116" s="8">
        <v>45463</v>
      </c>
      <c r="M116" s="9" t="str">
        <f t="shared" si="3"/>
        <v>Jun</v>
      </c>
    </row>
    <row r="117" spans="2:13">
      <c r="B117" t="s">
        <v>205</v>
      </c>
      <c r="C117">
        <v>33</v>
      </c>
      <c r="D117" t="s">
        <v>20</v>
      </c>
      <c r="E117" t="s">
        <v>15</v>
      </c>
      <c r="F117" s="8">
        <v>45382</v>
      </c>
      <c r="G117">
        <v>2</v>
      </c>
      <c r="H117">
        <v>200448</v>
      </c>
      <c r="I117" t="s">
        <v>32</v>
      </c>
      <c r="J117" t="s">
        <v>10</v>
      </c>
      <c r="K117" t="s">
        <v>54</v>
      </c>
      <c r="L117" s="8">
        <v>45384</v>
      </c>
      <c r="M117" s="9" t="str">
        <f t="shared" si="3"/>
        <v>Mar</v>
      </c>
    </row>
    <row r="118" spans="2:13">
      <c r="B118" t="s">
        <v>206</v>
      </c>
      <c r="C118">
        <v>62</v>
      </c>
      <c r="D118" t="s">
        <v>20</v>
      </c>
      <c r="E118" t="s">
        <v>13</v>
      </c>
      <c r="F118" s="8">
        <v>45381</v>
      </c>
      <c r="G118">
        <v>6</v>
      </c>
      <c r="H118">
        <v>196659</v>
      </c>
      <c r="I118" t="s">
        <v>26</v>
      </c>
      <c r="J118" t="s">
        <v>21</v>
      </c>
      <c r="K118" t="s">
        <v>53</v>
      </c>
      <c r="L118" s="8">
        <v>45387</v>
      </c>
      <c r="M118" s="9" t="str">
        <f t="shared" si="3"/>
        <v>Mar</v>
      </c>
    </row>
    <row r="119" spans="2:13">
      <c r="B119" t="s">
        <v>207</v>
      </c>
      <c r="C119">
        <v>35</v>
      </c>
      <c r="D119" t="s">
        <v>20</v>
      </c>
      <c r="E119" t="s">
        <v>12</v>
      </c>
      <c r="F119" s="8">
        <v>45310</v>
      </c>
      <c r="G119">
        <v>5</v>
      </c>
      <c r="H119">
        <v>450192</v>
      </c>
      <c r="I119" t="s">
        <v>26</v>
      </c>
      <c r="J119" t="s">
        <v>21</v>
      </c>
      <c r="K119" t="s">
        <v>54</v>
      </c>
      <c r="L119" s="8">
        <v>45315</v>
      </c>
      <c r="M119" s="9" t="str">
        <f t="shared" si="3"/>
        <v>Jan</v>
      </c>
    </row>
    <row r="120" spans="2:13">
      <c r="B120" t="s">
        <v>208</v>
      </c>
      <c r="C120">
        <v>64</v>
      </c>
      <c r="D120" t="s">
        <v>24</v>
      </c>
      <c r="E120" t="s">
        <v>14</v>
      </c>
      <c r="F120" s="8">
        <v>45330</v>
      </c>
      <c r="G120">
        <v>2</v>
      </c>
      <c r="H120">
        <v>255659</v>
      </c>
      <c r="I120" t="s">
        <v>26</v>
      </c>
      <c r="J120" t="s">
        <v>28</v>
      </c>
      <c r="K120" t="s">
        <v>54</v>
      </c>
      <c r="L120" s="8">
        <v>45332</v>
      </c>
      <c r="M120" s="9" t="str">
        <f t="shared" si="3"/>
        <v>Feb</v>
      </c>
    </row>
    <row r="121" spans="2:13">
      <c r="B121" t="s">
        <v>209</v>
      </c>
      <c r="C121">
        <v>70</v>
      </c>
      <c r="D121" t="s">
        <v>24</v>
      </c>
      <c r="E121" t="s">
        <v>13</v>
      </c>
      <c r="F121" s="8">
        <v>45417</v>
      </c>
      <c r="G121">
        <v>13</v>
      </c>
      <c r="H121">
        <v>409678</v>
      </c>
      <c r="I121" t="s">
        <v>26</v>
      </c>
      <c r="J121" t="s">
        <v>10</v>
      </c>
      <c r="K121" t="s">
        <v>54</v>
      </c>
      <c r="L121" s="8">
        <v>45430</v>
      </c>
      <c r="M121" s="9" t="str">
        <f t="shared" si="3"/>
        <v>May</v>
      </c>
    </row>
    <row r="122" spans="2:13">
      <c r="B122" t="s">
        <v>210</v>
      </c>
      <c r="C122">
        <v>41</v>
      </c>
      <c r="D122" t="s">
        <v>20</v>
      </c>
      <c r="E122" t="s">
        <v>14</v>
      </c>
      <c r="F122" s="8">
        <v>45464</v>
      </c>
      <c r="G122">
        <v>14</v>
      </c>
      <c r="H122">
        <v>349728</v>
      </c>
      <c r="I122" t="s">
        <v>26</v>
      </c>
      <c r="J122" t="s">
        <v>21</v>
      </c>
      <c r="K122" t="s">
        <v>54</v>
      </c>
      <c r="L122" s="8">
        <v>45478</v>
      </c>
      <c r="M122" s="9" t="str">
        <f t="shared" si="3"/>
        <v>Jun</v>
      </c>
    </row>
    <row r="123" spans="2:13">
      <c r="B123" t="s">
        <v>211</v>
      </c>
      <c r="C123">
        <v>43</v>
      </c>
      <c r="D123" t="s">
        <v>20</v>
      </c>
      <c r="E123" t="s">
        <v>15</v>
      </c>
      <c r="F123" s="8">
        <v>45432</v>
      </c>
      <c r="G123">
        <v>11</v>
      </c>
      <c r="H123">
        <v>124537</v>
      </c>
      <c r="I123" t="s">
        <v>29</v>
      </c>
      <c r="J123" t="s">
        <v>10</v>
      </c>
      <c r="K123" t="s">
        <v>54</v>
      </c>
      <c r="L123" s="8">
        <v>45443</v>
      </c>
      <c r="M123" s="9" t="str">
        <f t="shared" si="3"/>
        <v>May</v>
      </c>
    </row>
    <row r="124" spans="2:13">
      <c r="B124" t="s">
        <v>212</v>
      </c>
      <c r="C124">
        <v>42</v>
      </c>
      <c r="D124" t="s">
        <v>24</v>
      </c>
      <c r="E124" t="s">
        <v>16</v>
      </c>
      <c r="F124" s="8">
        <v>45417</v>
      </c>
      <c r="G124">
        <v>11</v>
      </c>
      <c r="H124">
        <v>360621</v>
      </c>
      <c r="I124" t="s">
        <v>26</v>
      </c>
      <c r="J124" t="s">
        <v>21</v>
      </c>
      <c r="K124" t="s">
        <v>54</v>
      </c>
      <c r="L124" s="8">
        <v>45428</v>
      </c>
      <c r="M124" s="9" t="str">
        <f t="shared" si="3"/>
        <v>May</v>
      </c>
    </row>
    <row r="125" spans="2:13">
      <c r="B125" t="s">
        <v>213</v>
      </c>
      <c r="C125">
        <v>77</v>
      </c>
      <c r="D125" t="s">
        <v>24</v>
      </c>
      <c r="E125" t="s">
        <v>15</v>
      </c>
      <c r="F125" s="8">
        <v>45349</v>
      </c>
      <c r="G125">
        <v>11</v>
      </c>
      <c r="H125">
        <v>261983</v>
      </c>
      <c r="I125" t="s">
        <v>29</v>
      </c>
      <c r="J125" t="s">
        <v>25</v>
      </c>
      <c r="K125" t="s">
        <v>53</v>
      </c>
      <c r="L125" s="8">
        <v>45360</v>
      </c>
      <c r="M125" s="9" t="str">
        <f t="shared" si="3"/>
        <v>Feb</v>
      </c>
    </row>
    <row r="126" spans="2:13">
      <c r="B126" t="s">
        <v>214</v>
      </c>
      <c r="C126">
        <v>77</v>
      </c>
      <c r="D126" t="s">
        <v>20</v>
      </c>
      <c r="E126" t="s">
        <v>13</v>
      </c>
      <c r="F126" s="8">
        <v>45439</v>
      </c>
      <c r="G126">
        <v>3</v>
      </c>
      <c r="H126">
        <v>62533</v>
      </c>
      <c r="I126" t="s">
        <v>26</v>
      </c>
      <c r="J126" t="s">
        <v>21</v>
      </c>
      <c r="K126" t="s">
        <v>54</v>
      </c>
      <c r="L126" s="8">
        <v>45442</v>
      </c>
      <c r="M126" s="9" t="str">
        <f t="shared" si="3"/>
        <v>May</v>
      </c>
    </row>
    <row r="127" spans="2:13">
      <c r="B127" t="s">
        <v>215</v>
      </c>
      <c r="C127">
        <v>77</v>
      </c>
      <c r="D127" t="s">
        <v>24</v>
      </c>
      <c r="E127" t="s">
        <v>14</v>
      </c>
      <c r="F127" s="8">
        <v>45352</v>
      </c>
      <c r="G127">
        <v>9</v>
      </c>
      <c r="H127">
        <v>283972</v>
      </c>
      <c r="I127" t="s">
        <v>32</v>
      </c>
      <c r="J127" t="s">
        <v>25</v>
      </c>
      <c r="K127" t="s">
        <v>54</v>
      </c>
      <c r="L127" s="8">
        <v>45361</v>
      </c>
      <c r="M127" s="9" t="str">
        <f t="shared" si="3"/>
        <v>Mar</v>
      </c>
    </row>
    <row r="128" spans="2:13">
      <c r="B128" t="s">
        <v>216</v>
      </c>
      <c r="C128">
        <v>62</v>
      </c>
      <c r="D128" t="s">
        <v>20</v>
      </c>
      <c r="E128" t="s">
        <v>14</v>
      </c>
      <c r="F128" s="8">
        <v>45418</v>
      </c>
      <c r="G128">
        <v>7</v>
      </c>
      <c r="H128">
        <v>21917</v>
      </c>
      <c r="I128" t="s">
        <v>22</v>
      </c>
      <c r="J128" t="s">
        <v>21</v>
      </c>
      <c r="K128" t="s">
        <v>54</v>
      </c>
      <c r="L128" s="8">
        <v>45425</v>
      </c>
      <c r="M128" s="9" t="str">
        <f t="shared" si="3"/>
        <v>May</v>
      </c>
    </row>
    <row r="129" spans="2:13">
      <c r="B129" t="s">
        <v>217</v>
      </c>
      <c r="C129">
        <v>58</v>
      </c>
      <c r="D129" t="s">
        <v>20</v>
      </c>
      <c r="E129" t="s">
        <v>12</v>
      </c>
      <c r="F129" s="8">
        <v>45396</v>
      </c>
      <c r="G129">
        <v>7</v>
      </c>
      <c r="H129">
        <v>302762</v>
      </c>
      <c r="I129" t="s">
        <v>29</v>
      </c>
      <c r="J129" t="s">
        <v>28</v>
      </c>
      <c r="K129" t="s">
        <v>54</v>
      </c>
      <c r="L129" s="8">
        <v>45403</v>
      </c>
      <c r="M129" s="9" t="str">
        <f t="shared" si="3"/>
        <v>Apr</v>
      </c>
    </row>
    <row r="130" spans="2:13">
      <c r="B130" t="s">
        <v>218</v>
      </c>
      <c r="C130">
        <v>46</v>
      </c>
      <c r="D130" t="s">
        <v>24</v>
      </c>
      <c r="E130" t="s">
        <v>14</v>
      </c>
      <c r="F130" s="8">
        <v>45458</v>
      </c>
      <c r="G130">
        <v>11</v>
      </c>
      <c r="H130">
        <v>52254</v>
      </c>
      <c r="I130" t="s">
        <v>26</v>
      </c>
      <c r="J130" t="s">
        <v>25</v>
      </c>
      <c r="K130" t="s">
        <v>54</v>
      </c>
      <c r="L130" s="8">
        <v>45469</v>
      </c>
      <c r="M130" s="9" t="str">
        <f t="shared" ref="M130:M161" si="4">TEXT(F130,"MMM")</f>
        <v>Jun</v>
      </c>
    </row>
    <row r="131" spans="2:13">
      <c r="B131" t="s">
        <v>219</v>
      </c>
      <c r="C131">
        <v>32</v>
      </c>
      <c r="D131" t="s">
        <v>24</v>
      </c>
      <c r="E131" t="s">
        <v>12</v>
      </c>
      <c r="F131" s="8">
        <v>45292</v>
      </c>
      <c r="G131">
        <v>6</v>
      </c>
      <c r="H131">
        <v>281987</v>
      </c>
      <c r="I131" t="s">
        <v>32</v>
      </c>
      <c r="J131" t="s">
        <v>21</v>
      </c>
      <c r="K131" t="s">
        <v>54</v>
      </c>
      <c r="L131" s="8">
        <v>45298</v>
      </c>
      <c r="M131" s="9" t="str">
        <f t="shared" si="4"/>
        <v>Jan</v>
      </c>
    </row>
    <row r="132" spans="2:13">
      <c r="B132" t="s">
        <v>220</v>
      </c>
      <c r="C132">
        <v>62</v>
      </c>
      <c r="D132" t="s">
        <v>20</v>
      </c>
      <c r="E132" t="s">
        <v>16</v>
      </c>
      <c r="F132" s="8">
        <v>45422</v>
      </c>
      <c r="G132">
        <v>8</v>
      </c>
      <c r="H132">
        <v>387436</v>
      </c>
      <c r="I132" t="s">
        <v>22</v>
      </c>
      <c r="J132" t="s">
        <v>28</v>
      </c>
      <c r="K132" t="s">
        <v>54</v>
      </c>
      <c r="L132" s="8">
        <v>45430</v>
      </c>
      <c r="M132" s="9" t="str">
        <f t="shared" si="4"/>
        <v>May</v>
      </c>
    </row>
    <row r="133" spans="2:13">
      <c r="B133" t="s">
        <v>221</v>
      </c>
      <c r="C133">
        <v>18</v>
      </c>
      <c r="D133" t="s">
        <v>20</v>
      </c>
      <c r="E133" t="s">
        <v>13</v>
      </c>
      <c r="F133" s="8">
        <v>45383</v>
      </c>
      <c r="G133">
        <v>4</v>
      </c>
      <c r="H133">
        <v>67362</v>
      </c>
      <c r="I133" t="s">
        <v>29</v>
      </c>
      <c r="J133" t="s">
        <v>25</v>
      </c>
      <c r="K133" t="s">
        <v>54</v>
      </c>
      <c r="L133" s="8">
        <v>45387</v>
      </c>
      <c r="M133" s="9" t="str">
        <f t="shared" si="4"/>
        <v>Apr</v>
      </c>
    </row>
    <row r="134" spans="2:13">
      <c r="B134" t="s">
        <v>222</v>
      </c>
      <c r="C134">
        <v>42</v>
      </c>
      <c r="D134" t="s">
        <v>24</v>
      </c>
      <c r="E134" t="s">
        <v>12</v>
      </c>
      <c r="F134" s="8">
        <v>45404</v>
      </c>
      <c r="G134">
        <v>8</v>
      </c>
      <c r="H134">
        <v>302272</v>
      </c>
      <c r="I134" t="s">
        <v>22</v>
      </c>
      <c r="J134" t="s">
        <v>28</v>
      </c>
      <c r="K134" t="s">
        <v>54</v>
      </c>
      <c r="L134" s="8">
        <v>45412</v>
      </c>
      <c r="M134" s="9" t="str">
        <f t="shared" si="4"/>
        <v>Apr</v>
      </c>
    </row>
    <row r="135" spans="2:13">
      <c r="B135" t="s">
        <v>223</v>
      </c>
      <c r="C135">
        <v>24</v>
      </c>
      <c r="D135" t="s">
        <v>20</v>
      </c>
      <c r="E135" t="s">
        <v>16</v>
      </c>
      <c r="F135" s="8">
        <v>45444</v>
      </c>
      <c r="G135">
        <v>4</v>
      </c>
      <c r="H135">
        <v>405925</v>
      </c>
      <c r="I135" t="s">
        <v>32</v>
      </c>
      <c r="J135" t="s">
        <v>10</v>
      </c>
      <c r="K135" t="s">
        <v>54</v>
      </c>
      <c r="L135" s="8">
        <v>45448</v>
      </c>
      <c r="M135" s="9" t="str">
        <f t="shared" si="4"/>
        <v>Jun</v>
      </c>
    </row>
    <row r="136" spans="2:13">
      <c r="B136" t="s">
        <v>224</v>
      </c>
      <c r="C136">
        <v>26</v>
      </c>
      <c r="D136" t="s">
        <v>24</v>
      </c>
      <c r="E136" t="s">
        <v>14</v>
      </c>
      <c r="F136" s="8">
        <v>45347</v>
      </c>
      <c r="G136">
        <v>8</v>
      </c>
      <c r="H136">
        <v>262353</v>
      </c>
      <c r="I136" t="s">
        <v>29</v>
      </c>
      <c r="J136" t="s">
        <v>10</v>
      </c>
      <c r="K136" t="s">
        <v>54</v>
      </c>
      <c r="L136" s="8">
        <v>45355</v>
      </c>
      <c r="M136" s="9" t="str">
        <f t="shared" si="4"/>
        <v>Feb</v>
      </c>
    </row>
    <row r="137" spans="2:13">
      <c r="B137" t="s">
        <v>225</v>
      </c>
      <c r="C137">
        <v>41</v>
      </c>
      <c r="D137" t="s">
        <v>20</v>
      </c>
      <c r="E137" t="s">
        <v>14</v>
      </c>
      <c r="F137" s="8">
        <v>45452</v>
      </c>
      <c r="G137">
        <v>9</v>
      </c>
      <c r="H137">
        <v>210455</v>
      </c>
      <c r="I137" t="s">
        <v>22</v>
      </c>
      <c r="J137" t="s">
        <v>25</v>
      </c>
      <c r="K137" t="s">
        <v>54</v>
      </c>
      <c r="L137" s="8">
        <v>45461</v>
      </c>
      <c r="M137" s="9" t="str">
        <f t="shared" si="4"/>
        <v>Jun</v>
      </c>
    </row>
    <row r="138" spans="2:13">
      <c r="B138" t="s">
        <v>226</v>
      </c>
      <c r="C138">
        <v>18</v>
      </c>
      <c r="D138" t="s">
        <v>24</v>
      </c>
      <c r="E138" t="s">
        <v>16</v>
      </c>
      <c r="F138" s="8">
        <v>45457</v>
      </c>
      <c r="G138">
        <v>3</v>
      </c>
      <c r="H138">
        <v>85545</v>
      </c>
      <c r="I138" t="s">
        <v>26</v>
      </c>
      <c r="J138" t="s">
        <v>21</v>
      </c>
      <c r="K138" t="s">
        <v>53</v>
      </c>
      <c r="L138" s="8">
        <v>45460</v>
      </c>
      <c r="M138" s="9" t="str">
        <f t="shared" si="4"/>
        <v>Jun</v>
      </c>
    </row>
    <row r="139" spans="2:13">
      <c r="B139" t="s">
        <v>227</v>
      </c>
      <c r="C139">
        <v>61</v>
      </c>
      <c r="D139" t="s">
        <v>24</v>
      </c>
      <c r="E139" t="s">
        <v>14</v>
      </c>
      <c r="F139" s="8">
        <v>45408</v>
      </c>
      <c r="G139">
        <v>3</v>
      </c>
      <c r="H139">
        <v>102180</v>
      </c>
      <c r="I139" t="s">
        <v>29</v>
      </c>
      <c r="J139" t="s">
        <v>25</v>
      </c>
      <c r="K139" t="s">
        <v>54</v>
      </c>
      <c r="L139" s="8">
        <v>45411</v>
      </c>
      <c r="M139" s="9" t="str">
        <f t="shared" si="4"/>
        <v>Apr</v>
      </c>
    </row>
    <row r="140" spans="2:13">
      <c r="B140" t="s">
        <v>228</v>
      </c>
      <c r="C140">
        <v>25</v>
      </c>
      <c r="D140" t="s">
        <v>24</v>
      </c>
      <c r="E140" t="s">
        <v>16</v>
      </c>
      <c r="F140" s="8">
        <v>45425</v>
      </c>
      <c r="G140">
        <v>11</v>
      </c>
      <c r="H140">
        <v>107958</v>
      </c>
      <c r="I140" t="s">
        <v>22</v>
      </c>
      <c r="J140" t="s">
        <v>28</v>
      </c>
      <c r="K140" t="s">
        <v>54</v>
      </c>
      <c r="L140" s="8">
        <v>45436</v>
      </c>
      <c r="M140" s="9" t="str">
        <f t="shared" si="4"/>
        <v>May</v>
      </c>
    </row>
    <row r="141" spans="2:13">
      <c r="B141" t="s">
        <v>229</v>
      </c>
      <c r="C141">
        <v>41</v>
      </c>
      <c r="D141" t="s">
        <v>20</v>
      </c>
      <c r="E141" t="s">
        <v>12</v>
      </c>
      <c r="F141" s="8">
        <v>45349</v>
      </c>
      <c r="G141">
        <v>13</v>
      </c>
      <c r="H141">
        <v>423081</v>
      </c>
      <c r="I141" t="s">
        <v>32</v>
      </c>
      <c r="J141" t="s">
        <v>21</v>
      </c>
      <c r="K141" t="s">
        <v>54</v>
      </c>
      <c r="L141" s="8">
        <v>45362</v>
      </c>
      <c r="M141" s="9" t="str">
        <f t="shared" si="4"/>
        <v>Feb</v>
      </c>
    </row>
    <row r="142" spans="2:13">
      <c r="B142" t="s">
        <v>230</v>
      </c>
      <c r="C142">
        <v>28</v>
      </c>
      <c r="D142" t="s">
        <v>20</v>
      </c>
      <c r="E142" t="s">
        <v>12</v>
      </c>
      <c r="F142" s="8">
        <v>45335</v>
      </c>
      <c r="G142">
        <v>2</v>
      </c>
      <c r="H142">
        <v>415435</v>
      </c>
      <c r="I142" t="s">
        <v>32</v>
      </c>
      <c r="J142" t="s">
        <v>10</v>
      </c>
      <c r="K142" t="s">
        <v>54</v>
      </c>
      <c r="L142" s="8">
        <v>45337</v>
      </c>
      <c r="M142" s="9" t="str">
        <f t="shared" si="4"/>
        <v>Feb</v>
      </c>
    </row>
    <row r="143" spans="2:13">
      <c r="B143" t="s">
        <v>231</v>
      </c>
      <c r="C143">
        <v>68</v>
      </c>
      <c r="D143" t="s">
        <v>24</v>
      </c>
      <c r="E143" t="s">
        <v>16</v>
      </c>
      <c r="F143" s="8">
        <v>45464</v>
      </c>
      <c r="G143">
        <v>13</v>
      </c>
      <c r="H143">
        <v>321953</v>
      </c>
      <c r="I143" t="s">
        <v>29</v>
      </c>
      <c r="J143" t="s">
        <v>21</v>
      </c>
      <c r="K143" t="s">
        <v>53</v>
      </c>
      <c r="L143" s="8">
        <v>45477</v>
      </c>
      <c r="M143" s="9" t="str">
        <f t="shared" si="4"/>
        <v>Jun</v>
      </c>
    </row>
    <row r="144" spans="2:13">
      <c r="B144" t="s">
        <v>232</v>
      </c>
      <c r="C144">
        <v>34</v>
      </c>
      <c r="D144" t="s">
        <v>20</v>
      </c>
      <c r="E144" t="s">
        <v>12</v>
      </c>
      <c r="F144" s="8">
        <v>45451</v>
      </c>
      <c r="G144">
        <v>10</v>
      </c>
      <c r="H144">
        <v>398892</v>
      </c>
      <c r="I144" t="s">
        <v>22</v>
      </c>
      <c r="J144" t="s">
        <v>10</v>
      </c>
      <c r="K144" t="s">
        <v>54</v>
      </c>
      <c r="L144" s="8">
        <v>45461</v>
      </c>
      <c r="M144" s="9" t="str">
        <f t="shared" si="4"/>
        <v>Jun</v>
      </c>
    </row>
    <row r="145" spans="2:13">
      <c r="B145" t="s">
        <v>233</v>
      </c>
      <c r="C145">
        <v>25</v>
      </c>
      <c r="D145" t="s">
        <v>24</v>
      </c>
      <c r="E145" t="s">
        <v>12</v>
      </c>
      <c r="F145" s="8">
        <v>45464</v>
      </c>
      <c r="G145">
        <v>3</v>
      </c>
      <c r="H145">
        <v>25287</v>
      </c>
      <c r="I145" t="s">
        <v>29</v>
      </c>
      <c r="J145" t="s">
        <v>21</v>
      </c>
      <c r="K145" t="s">
        <v>54</v>
      </c>
      <c r="L145" s="8">
        <v>45467</v>
      </c>
      <c r="M145" s="9" t="str">
        <f t="shared" si="4"/>
        <v>Jun</v>
      </c>
    </row>
    <row r="146" spans="2:13">
      <c r="B146" t="s">
        <v>234</v>
      </c>
      <c r="C146">
        <v>52</v>
      </c>
      <c r="D146" t="s">
        <v>24</v>
      </c>
      <c r="E146" t="s">
        <v>12</v>
      </c>
      <c r="F146" s="8">
        <v>45352</v>
      </c>
      <c r="G146">
        <v>3</v>
      </c>
      <c r="H146">
        <v>277665</v>
      </c>
      <c r="I146" t="s">
        <v>29</v>
      </c>
      <c r="J146" t="s">
        <v>21</v>
      </c>
      <c r="K146" t="s">
        <v>54</v>
      </c>
      <c r="L146" s="8">
        <v>45355</v>
      </c>
      <c r="M146" s="9" t="str">
        <f t="shared" si="4"/>
        <v>Mar</v>
      </c>
    </row>
    <row r="147" spans="2:13">
      <c r="B147" t="s">
        <v>235</v>
      </c>
      <c r="C147">
        <v>52</v>
      </c>
      <c r="D147" t="s">
        <v>20</v>
      </c>
      <c r="E147" t="s">
        <v>15</v>
      </c>
      <c r="F147" s="8">
        <v>45338</v>
      </c>
      <c r="G147">
        <v>5</v>
      </c>
      <c r="H147">
        <v>447603</v>
      </c>
      <c r="I147" t="s">
        <v>22</v>
      </c>
      <c r="J147" t="s">
        <v>21</v>
      </c>
      <c r="K147" t="s">
        <v>54</v>
      </c>
      <c r="L147" s="8">
        <v>45343</v>
      </c>
      <c r="M147" s="9" t="str">
        <f t="shared" si="4"/>
        <v>Feb</v>
      </c>
    </row>
    <row r="148" spans="2:13">
      <c r="B148" t="s">
        <v>236</v>
      </c>
      <c r="C148">
        <v>50</v>
      </c>
      <c r="D148" t="s">
        <v>20</v>
      </c>
      <c r="E148" t="s">
        <v>13</v>
      </c>
      <c r="F148" s="8">
        <v>45440</v>
      </c>
      <c r="G148">
        <v>5</v>
      </c>
      <c r="H148">
        <v>28512</v>
      </c>
      <c r="I148" t="s">
        <v>22</v>
      </c>
      <c r="J148" t="s">
        <v>28</v>
      </c>
      <c r="K148" t="s">
        <v>53</v>
      </c>
      <c r="L148" s="8">
        <v>45445</v>
      </c>
      <c r="M148" s="9" t="str">
        <f t="shared" si="4"/>
        <v>May</v>
      </c>
    </row>
    <row r="149" spans="2:13">
      <c r="B149" t="s">
        <v>237</v>
      </c>
      <c r="C149">
        <v>76</v>
      </c>
      <c r="D149" t="s">
        <v>24</v>
      </c>
      <c r="E149" t="s">
        <v>14</v>
      </c>
      <c r="F149" s="8">
        <v>45371</v>
      </c>
      <c r="G149">
        <v>2</v>
      </c>
      <c r="H149">
        <v>152414</v>
      </c>
      <c r="I149" t="s">
        <v>26</v>
      </c>
      <c r="J149" t="s">
        <v>28</v>
      </c>
      <c r="K149" t="s">
        <v>54</v>
      </c>
      <c r="L149" s="8">
        <v>45373</v>
      </c>
      <c r="M149" s="9" t="str">
        <f t="shared" si="4"/>
        <v>Mar</v>
      </c>
    </row>
    <row r="150" spans="2:13">
      <c r="B150" t="s">
        <v>238</v>
      </c>
      <c r="C150">
        <v>22</v>
      </c>
      <c r="D150" t="s">
        <v>20</v>
      </c>
      <c r="E150" t="s">
        <v>15</v>
      </c>
      <c r="F150" s="8">
        <v>45409</v>
      </c>
      <c r="G150">
        <v>12</v>
      </c>
      <c r="H150">
        <v>476292</v>
      </c>
      <c r="I150" t="s">
        <v>22</v>
      </c>
      <c r="J150" t="s">
        <v>25</v>
      </c>
      <c r="K150" t="s">
        <v>54</v>
      </c>
      <c r="L150" s="8">
        <v>45421</v>
      </c>
      <c r="M150" s="9" t="str">
        <f t="shared" si="4"/>
        <v>Apr</v>
      </c>
    </row>
    <row r="151" spans="2:13">
      <c r="B151" t="s">
        <v>239</v>
      </c>
      <c r="C151">
        <v>59</v>
      </c>
      <c r="D151" t="s">
        <v>20</v>
      </c>
      <c r="E151" t="s">
        <v>12</v>
      </c>
      <c r="F151" s="8">
        <v>45455</v>
      </c>
      <c r="G151">
        <v>10</v>
      </c>
      <c r="H151">
        <v>128872</v>
      </c>
      <c r="I151" t="s">
        <v>32</v>
      </c>
      <c r="J151" t="s">
        <v>25</v>
      </c>
      <c r="K151" t="s">
        <v>54</v>
      </c>
      <c r="L151" s="8">
        <v>45465</v>
      </c>
      <c r="M151" s="9" t="str">
        <f t="shared" si="4"/>
        <v>Jun</v>
      </c>
    </row>
    <row r="152" spans="2:13">
      <c r="B152" t="s">
        <v>240</v>
      </c>
      <c r="C152">
        <v>56</v>
      </c>
      <c r="D152" t="s">
        <v>24</v>
      </c>
      <c r="E152" t="s">
        <v>16</v>
      </c>
      <c r="F152" s="8">
        <v>45438</v>
      </c>
      <c r="G152">
        <v>13</v>
      </c>
      <c r="H152">
        <v>432432</v>
      </c>
      <c r="I152" t="s">
        <v>29</v>
      </c>
      <c r="J152" t="s">
        <v>10</v>
      </c>
      <c r="K152" t="s">
        <v>53</v>
      </c>
      <c r="L152" s="8">
        <v>45451</v>
      </c>
      <c r="M152" s="9" t="str">
        <f t="shared" si="4"/>
        <v>May</v>
      </c>
    </row>
    <row r="153" spans="2:13">
      <c r="B153" t="s">
        <v>241</v>
      </c>
      <c r="C153">
        <v>75</v>
      </c>
      <c r="D153" t="s">
        <v>24</v>
      </c>
      <c r="E153" t="s">
        <v>12</v>
      </c>
      <c r="F153" s="8">
        <v>45311</v>
      </c>
      <c r="G153">
        <v>6</v>
      </c>
      <c r="H153">
        <v>267754</v>
      </c>
      <c r="I153" t="s">
        <v>29</v>
      </c>
      <c r="J153" t="s">
        <v>28</v>
      </c>
      <c r="K153" t="s">
        <v>54</v>
      </c>
      <c r="L153" s="8">
        <v>45317</v>
      </c>
      <c r="M153" s="9" t="str">
        <f t="shared" si="4"/>
        <v>Jan</v>
      </c>
    </row>
    <row r="154" spans="2:13">
      <c r="B154" t="s">
        <v>242</v>
      </c>
      <c r="C154">
        <v>58</v>
      </c>
      <c r="D154" t="s">
        <v>20</v>
      </c>
      <c r="E154" t="s">
        <v>13</v>
      </c>
      <c r="F154" s="8">
        <v>45437</v>
      </c>
      <c r="G154">
        <v>5</v>
      </c>
      <c r="H154">
        <v>113070</v>
      </c>
      <c r="I154" t="s">
        <v>32</v>
      </c>
      <c r="J154" t="s">
        <v>10</v>
      </c>
      <c r="K154" t="s">
        <v>53</v>
      </c>
      <c r="L154" s="8">
        <v>45442</v>
      </c>
      <c r="M154" s="9" t="str">
        <f t="shared" si="4"/>
        <v>May</v>
      </c>
    </row>
    <row r="155" spans="2:13">
      <c r="B155" t="s">
        <v>243</v>
      </c>
      <c r="C155">
        <v>45</v>
      </c>
      <c r="D155" t="s">
        <v>24</v>
      </c>
      <c r="E155" t="s">
        <v>12</v>
      </c>
      <c r="F155" s="8">
        <v>45338</v>
      </c>
      <c r="G155">
        <v>6</v>
      </c>
      <c r="H155">
        <v>99767</v>
      </c>
      <c r="I155" t="s">
        <v>22</v>
      </c>
      <c r="J155" t="s">
        <v>25</v>
      </c>
      <c r="K155" t="s">
        <v>54</v>
      </c>
      <c r="L155" s="8">
        <v>45344</v>
      </c>
      <c r="M155" s="9" t="str">
        <f t="shared" si="4"/>
        <v>Feb</v>
      </c>
    </row>
    <row r="156" spans="2:13">
      <c r="B156" t="s">
        <v>244</v>
      </c>
      <c r="C156">
        <v>24</v>
      </c>
      <c r="D156" t="s">
        <v>24</v>
      </c>
      <c r="E156" t="s">
        <v>16</v>
      </c>
      <c r="F156" s="8">
        <v>45340</v>
      </c>
      <c r="G156">
        <v>1</v>
      </c>
      <c r="H156">
        <v>117829</v>
      </c>
      <c r="I156" t="s">
        <v>32</v>
      </c>
      <c r="J156" t="s">
        <v>10</v>
      </c>
      <c r="K156" t="s">
        <v>54</v>
      </c>
      <c r="L156" s="8">
        <v>45341</v>
      </c>
      <c r="M156" s="9" t="str">
        <f t="shared" si="4"/>
        <v>Feb</v>
      </c>
    </row>
    <row r="157" spans="2:13">
      <c r="B157" t="s">
        <v>245</v>
      </c>
      <c r="C157">
        <v>26</v>
      </c>
      <c r="D157" t="s">
        <v>20</v>
      </c>
      <c r="E157" t="s">
        <v>13</v>
      </c>
      <c r="F157" s="8">
        <v>45305</v>
      </c>
      <c r="G157">
        <v>5</v>
      </c>
      <c r="H157">
        <v>439830</v>
      </c>
      <c r="I157" t="s">
        <v>32</v>
      </c>
      <c r="J157" t="s">
        <v>25</v>
      </c>
      <c r="K157" t="s">
        <v>54</v>
      </c>
      <c r="L157" s="8">
        <v>45310</v>
      </c>
      <c r="M157" s="9" t="str">
        <f t="shared" si="4"/>
        <v>Jan</v>
      </c>
    </row>
    <row r="158" spans="2:13">
      <c r="B158" t="s">
        <v>246</v>
      </c>
      <c r="C158">
        <v>25</v>
      </c>
      <c r="D158" t="s">
        <v>24</v>
      </c>
      <c r="E158" t="s">
        <v>12</v>
      </c>
      <c r="F158" s="8">
        <v>45434</v>
      </c>
      <c r="G158">
        <v>9</v>
      </c>
      <c r="H158">
        <v>449474</v>
      </c>
      <c r="I158" t="s">
        <v>26</v>
      </c>
      <c r="J158" t="s">
        <v>28</v>
      </c>
      <c r="K158" t="s">
        <v>54</v>
      </c>
      <c r="L158" s="8">
        <v>45443</v>
      </c>
      <c r="M158" s="9" t="str">
        <f t="shared" si="4"/>
        <v>May</v>
      </c>
    </row>
    <row r="159" spans="2:13">
      <c r="B159" t="s">
        <v>247</v>
      </c>
      <c r="C159">
        <v>29</v>
      </c>
      <c r="D159" t="s">
        <v>24</v>
      </c>
      <c r="E159" t="s">
        <v>13</v>
      </c>
      <c r="F159" s="8">
        <v>45450</v>
      </c>
      <c r="G159">
        <v>12</v>
      </c>
      <c r="H159">
        <v>62078</v>
      </c>
      <c r="I159" t="s">
        <v>32</v>
      </c>
      <c r="J159" t="s">
        <v>21</v>
      </c>
      <c r="K159" t="s">
        <v>54</v>
      </c>
      <c r="L159" s="8">
        <v>45462</v>
      </c>
      <c r="M159" s="9" t="str">
        <f t="shared" si="4"/>
        <v>Jun</v>
      </c>
    </row>
    <row r="160" spans="2:13">
      <c r="B160" t="s">
        <v>248</v>
      </c>
      <c r="C160">
        <v>51</v>
      </c>
      <c r="D160" t="s">
        <v>20</v>
      </c>
      <c r="E160" t="s">
        <v>14</v>
      </c>
      <c r="F160" s="8">
        <v>45292</v>
      </c>
      <c r="G160">
        <v>10</v>
      </c>
      <c r="H160">
        <v>388432</v>
      </c>
      <c r="I160" t="s">
        <v>29</v>
      </c>
      <c r="J160" t="s">
        <v>28</v>
      </c>
      <c r="K160" t="s">
        <v>54</v>
      </c>
      <c r="L160" s="8">
        <v>45302</v>
      </c>
      <c r="M160" s="9" t="str">
        <f t="shared" si="4"/>
        <v>Jan</v>
      </c>
    </row>
    <row r="161" spans="2:13">
      <c r="B161" t="s">
        <v>249</v>
      </c>
      <c r="C161">
        <v>50</v>
      </c>
      <c r="D161" t="s">
        <v>20</v>
      </c>
      <c r="E161" t="s">
        <v>14</v>
      </c>
      <c r="F161" s="8">
        <v>45408</v>
      </c>
      <c r="G161">
        <v>14</v>
      </c>
      <c r="H161">
        <v>103524</v>
      </c>
      <c r="I161" t="s">
        <v>32</v>
      </c>
      <c r="J161" t="s">
        <v>10</v>
      </c>
      <c r="K161" t="s">
        <v>54</v>
      </c>
      <c r="L161" s="8">
        <v>45422</v>
      </c>
      <c r="M161" s="9" t="str">
        <f t="shared" si="4"/>
        <v>Apr</v>
      </c>
    </row>
    <row r="162" spans="2:13">
      <c r="B162" t="s">
        <v>250</v>
      </c>
      <c r="C162">
        <v>65</v>
      </c>
      <c r="D162" t="s">
        <v>24</v>
      </c>
      <c r="E162" t="s">
        <v>12</v>
      </c>
      <c r="F162" s="8">
        <v>45345</v>
      </c>
      <c r="G162">
        <v>2</v>
      </c>
      <c r="H162">
        <v>247645</v>
      </c>
      <c r="I162" t="s">
        <v>29</v>
      </c>
      <c r="J162" t="s">
        <v>10</v>
      </c>
      <c r="K162" t="s">
        <v>54</v>
      </c>
      <c r="L162" s="8">
        <v>45347</v>
      </c>
      <c r="M162" s="9" t="str">
        <f t="shared" ref="M162:M201" si="5">TEXT(F162,"MMM")</f>
        <v>Feb</v>
      </c>
    </row>
    <row r="163" spans="2:13">
      <c r="B163" t="s">
        <v>251</v>
      </c>
      <c r="C163">
        <v>72</v>
      </c>
      <c r="D163" t="s">
        <v>24</v>
      </c>
      <c r="E163" t="s">
        <v>13</v>
      </c>
      <c r="F163" s="8">
        <v>45409</v>
      </c>
      <c r="G163">
        <v>1</v>
      </c>
      <c r="H163">
        <v>32219</v>
      </c>
      <c r="I163" t="s">
        <v>29</v>
      </c>
      <c r="J163" t="s">
        <v>28</v>
      </c>
      <c r="K163" t="s">
        <v>54</v>
      </c>
      <c r="L163" s="8">
        <v>45410</v>
      </c>
      <c r="M163" s="9" t="str">
        <f t="shared" si="5"/>
        <v>Apr</v>
      </c>
    </row>
    <row r="164" spans="2:13">
      <c r="B164" t="s">
        <v>252</v>
      </c>
      <c r="C164">
        <v>40</v>
      </c>
      <c r="D164" t="s">
        <v>20</v>
      </c>
      <c r="E164" t="s">
        <v>16</v>
      </c>
      <c r="F164" s="8">
        <v>45294</v>
      </c>
      <c r="G164">
        <v>14</v>
      </c>
      <c r="H164">
        <v>282379</v>
      </c>
      <c r="I164" t="s">
        <v>29</v>
      </c>
      <c r="J164" t="s">
        <v>28</v>
      </c>
      <c r="K164" t="s">
        <v>54</v>
      </c>
      <c r="L164" s="8">
        <v>45308</v>
      </c>
      <c r="M164" s="9" t="str">
        <f t="shared" si="5"/>
        <v>Jan</v>
      </c>
    </row>
    <row r="165" spans="2:13">
      <c r="B165" t="s">
        <v>253</v>
      </c>
      <c r="C165">
        <v>79</v>
      </c>
      <c r="D165" t="s">
        <v>20</v>
      </c>
      <c r="E165" t="s">
        <v>12</v>
      </c>
      <c r="F165" s="8">
        <v>45435</v>
      </c>
      <c r="G165">
        <v>10</v>
      </c>
      <c r="H165">
        <v>325073</v>
      </c>
      <c r="I165" t="s">
        <v>22</v>
      </c>
      <c r="J165" t="s">
        <v>25</v>
      </c>
      <c r="K165" t="s">
        <v>53</v>
      </c>
      <c r="L165" s="8">
        <v>45445</v>
      </c>
      <c r="M165" s="9" t="str">
        <f t="shared" si="5"/>
        <v>May</v>
      </c>
    </row>
    <row r="166" spans="2:13">
      <c r="B166" t="s">
        <v>254</v>
      </c>
      <c r="C166">
        <v>41</v>
      </c>
      <c r="D166" t="s">
        <v>20</v>
      </c>
      <c r="E166" t="s">
        <v>14</v>
      </c>
      <c r="F166" s="8">
        <v>45303</v>
      </c>
      <c r="G166">
        <v>13</v>
      </c>
      <c r="H166">
        <v>147309</v>
      </c>
      <c r="I166" t="s">
        <v>26</v>
      </c>
      <c r="J166" t="s">
        <v>10</v>
      </c>
      <c r="K166" t="s">
        <v>54</v>
      </c>
      <c r="L166" s="8">
        <v>45316</v>
      </c>
      <c r="M166" s="9" t="str">
        <f t="shared" si="5"/>
        <v>Jan</v>
      </c>
    </row>
    <row r="167" spans="2:13">
      <c r="B167" t="s">
        <v>255</v>
      </c>
      <c r="C167">
        <v>54</v>
      </c>
      <c r="D167" t="s">
        <v>20</v>
      </c>
      <c r="E167" t="s">
        <v>14</v>
      </c>
      <c r="F167" s="8">
        <v>45365</v>
      </c>
      <c r="G167">
        <v>11</v>
      </c>
      <c r="H167">
        <v>349588</v>
      </c>
      <c r="I167" t="s">
        <v>29</v>
      </c>
      <c r="J167" t="s">
        <v>10</v>
      </c>
      <c r="K167" t="s">
        <v>53</v>
      </c>
      <c r="L167" s="8">
        <v>45376</v>
      </c>
      <c r="M167" s="9" t="str">
        <f t="shared" si="5"/>
        <v>Mar</v>
      </c>
    </row>
    <row r="168" spans="2:13">
      <c r="B168" t="s">
        <v>256</v>
      </c>
      <c r="C168">
        <v>52</v>
      </c>
      <c r="D168" t="s">
        <v>24</v>
      </c>
      <c r="E168" t="s">
        <v>12</v>
      </c>
      <c r="F168" s="8">
        <v>45307</v>
      </c>
      <c r="G168">
        <v>9</v>
      </c>
      <c r="H168">
        <v>159639</v>
      </c>
      <c r="I168" t="s">
        <v>29</v>
      </c>
      <c r="J168" t="s">
        <v>28</v>
      </c>
      <c r="K168" t="s">
        <v>53</v>
      </c>
      <c r="L168" s="8">
        <v>45316</v>
      </c>
      <c r="M168" s="9" t="str">
        <f t="shared" si="5"/>
        <v>Jan</v>
      </c>
    </row>
    <row r="169" spans="2:13">
      <c r="B169" t="s">
        <v>257</v>
      </c>
      <c r="C169">
        <v>61</v>
      </c>
      <c r="D169" t="s">
        <v>20</v>
      </c>
      <c r="E169" t="s">
        <v>13</v>
      </c>
      <c r="F169" s="8">
        <v>45393</v>
      </c>
      <c r="G169">
        <v>10</v>
      </c>
      <c r="H169">
        <v>383978</v>
      </c>
      <c r="I169" t="s">
        <v>22</v>
      </c>
      <c r="J169" t="s">
        <v>21</v>
      </c>
      <c r="K169" t="s">
        <v>54</v>
      </c>
      <c r="L169" s="8">
        <v>45403</v>
      </c>
      <c r="M169" s="9" t="str">
        <f t="shared" si="5"/>
        <v>Apr</v>
      </c>
    </row>
    <row r="170" spans="2:13">
      <c r="B170" t="s">
        <v>258</v>
      </c>
      <c r="C170">
        <v>57</v>
      </c>
      <c r="D170" t="s">
        <v>20</v>
      </c>
      <c r="E170" t="s">
        <v>14</v>
      </c>
      <c r="F170" s="8">
        <v>45443</v>
      </c>
      <c r="G170">
        <v>9</v>
      </c>
      <c r="H170">
        <v>484008</v>
      </c>
      <c r="I170" t="s">
        <v>29</v>
      </c>
      <c r="J170" t="s">
        <v>10</v>
      </c>
      <c r="K170" t="s">
        <v>54</v>
      </c>
      <c r="L170" s="8">
        <v>45452</v>
      </c>
      <c r="M170" s="9" t="str">
        <f t="shared" si="5"/>
        <v>May</v>
      </c>
    </row>
    <row r="171" spans="2:13">
      <c r="B171" t="s">
        <v>259</v>
      </c>
      <c r="C171">
        <v>39</v>
      </c>
      <c r="D171" t="s">
        <v>24</v>
      </c>
      <c r="E171" t="s">
        <v>13</v>
      </c>
      <c r="F171" s="8">
        <v>45447</v>
      </c>
      <c r="G171">
        <v>9</v>
      </c>
      <c r="H171">
        <v>216513</v>
      </c>
      <c r="I171" t="s">
        <v>32</v>
      </c>
      <c r="J171" t="s">
        <v>21</v>
      </c>
      <c r="K171" t="s">
        <v>54</v>
      </c>
      <c r="L171" s="8">
        <v>45456</v>
      </c>
      <c r="M171" s="9" t="str">
        <f t="shared" si="5"/>
        <v>Jun</v>
      </c>
    </row>
    <row r="172" spans="2:13">
      <c r="B172" t="s">
        <v>260</v>
      </c>
      <c r="C172">
        <v>44</v>
      </c>
      <c r="D172" t="s">
        <v>20</v>
      </c>
      <c r="E172" t="s">
        <v>14</v>
      </c>
      <c r="F172" s="8">
        <v>45408</v>
      </c>
      <c r="G172">
        <v>6</v>
      </c>
      <c r="H172">
        <v>366699</v>
      </c>
      <c r="I172" t="s">
        <v>32</v>
      </c>
      <c r="J172" t="s">
        <v>28</v>
      </c>
      <c r="K172" t="s">
        <v>54</v>
      </c>
      <c r="L172" s="8">
        <v>45414</v>
      </c>
      <c r="M172" s="9" t="str">
        <f t="shared" si="5"/>
        <v>Apr</v>
      </c>
    </row>
    <row r="173" spans="2:13">
      <c r="B173" t="s">
        <v>261</v>
      </c>
      <c r="C173">
        <v>52</v>
      </c>
      <c r="D173" t="s">
        <v>24</v>
      </c>
      <c r="E173" t="s">
        <v>14</v>
      </c>
      <c r="F173" s="8">
        <v>45299</v>
      </c>
      <c r="G173">
        <v>8</v>
      </c>
      <c r="H173">
        <v>355842</v>
      </c>
      <c r="I173" t="s">
        <v>26</v>
      </c>
      <c r="J173" t="s">
        <v>28</v>
      </c>
      <c r="K173" t="s">
        <v>54</v>
      </c>
      <c r="L173" s="8">
        <v>45307</v>
      </c>
      <c r="M173" s="9" t="str">
        <f t="shared" si="5"/>
        <v>Jan</v>
      </c>
    </row>
    <row r="174" spans="2:13">
      <c r="B174" t="s">
        <v>262</v>
      </c>
      <c r="C174">
        <v>18</v>
      </c>
      <c r="D174" t="s">
        <v>20</v>
      </c>
      <c r="E174" t="s">
        <v>15</v>
      </c>
      <c r="F174" s="8">
        <v>45413</v>
      </c>
      <c r="G174">
        <v>14</v>
      </c>
      <c r="H174">
        <v>406594</v>
      </c>
      <c r="I174" t="s">
        <v>29</v>
      </c>
      <c r="J174" t="s">
        <v>25</v>
      </c>
      <c r="K174" t="s">
        <v>54</v>
      </c>
      <c r="L174" s="8">
        <v>45427</v>
      </c>
      <c r="M174" s="9" t="str">
        <f t="shared" si="5"/>
        <v>May</v>
      </c>
    </row>
    <row r="175" spans="2:13">
      <c r="B175" t="s">
        <v>263</v>
      </c>
      <c r="C175">
        <v>52</v>
      </c>
      <c r="D175" t="s">
        <v>20</v>
      </c>
      <c r="E175" t="s">
        <v>14</v>
      </c>
      <c r="F175" s="8">
        <v>45383</v>
      </c>
      <c r="G175">
        <v>11</v>
      </c>
      <c r="H175">
        <v>268320</v>
      </c>
      <c r="I175" t="s">
        <v>22</v>
      </c>
      <c r="J175" t="s">
        <v>10</v>
      </c>
      <c r="K175" t="s">
        <v>54</v>
      </c>
      <c r="L175" s="8">
        <v>45394</v>
      </c>
      <c r="M175" s="9" t="str">
        <f t="shared" si="5"/>
        <v>Apr</v>
      </c>
    </row>
    <row r="176" spans="2:13">
      <c r="B176" t="s">
        <v>264</v>
      </c>
      <c r="C176">
        <v>54</v>
      </c>
      <c r="D176" t="s">
        <v>20</v>
      </c>
      <c r="E176" t="s">
        <v>16</v>
      </c>
      <c r="F176" s="8">
        <v>45455</v>
      </c>
      <c r="G176">
        <v>13</v>
      </c>
      <c r="H176">
        <v>156487</v>
      </c>
      <c r="I176" t="s">
        <v>32</v>
      </c>
      <c r="J176" t="s">
        <v>21</v>
      </c>
      <c r="K176" t="s">
        <v>54</v>
      </c>
      <c r="L176" s="8">
        <v>45468</v>
      </c>
      <c r="M176" s="9" t="str">
        <f t="shared" si="5"/>
        <v>Jun</v>
      </c>
    </row>
    <row r="177" spans="2:13">
      <c r="B177" t="s">
        <v>265</v>
      </c>
      <c r="C177">
        <v>64</v>
      </c>
      <c r="D177" t="s">
        <v>24</v>
      </c>
      <c r="E177" t="s">
        <v>12</v>
      </c>
      <c r="F177" s="8">
        <v>45381</v>
      </c>
      <c r="G177">
        <v>1</v>
      </c>
      <c r="H177">
        <v>187231</v>
      </c>
      <c r="I177" t="s">
        <v>22</v>
      </c>
      <c r="J177" t="s">
        <v>25</v>
      </c>
      <c r="K177" t="s">
        <v>54</v>
      </c>
      <c r="L177" s="8">
        <v>45382</v>
      </c>
      <c r="M177" s="9" t="str">
        <f t="shared" si="5"/>
        <v>Mar</v>
      </c>
    </row>
    <row r="178" spans="2:13">
      <c r="B178" t="s">
        <v>266</v>
      </c>
      <c r="C178">
        <v>31</v>
      </c>
      <c r="D178" t="s">
        <v>24</v>
      </c>
      <c r="E178" t="s">
        <v>12</v>
      </c>
      <c r="F178" s="8">
        <v>45427</v>
      </c>
      <c r="G178">
        <v>10</v>
      </c>
      <c r="H178">
        <v>63925</v>
      </c>
      <c r="I178" t="s">
        <v>22</v>
      </c>
      <c r="J178" t="s">
        <v>10</v>
      </c>
      <c r="K178" t="s">
        <v>54</v>
      </c>
      <c r="L178" s="8">
        <v>45437</v>
      </c>
      <c r="M178" s="9" t="str">
        <f t="shared" si="5"/>
        <v>May</v>
      </c>
    </row>
    <row r="179" spans="2:13">
      <c r="B179" t="s">
        <v>267</v>
      </c>
      <c r="C179">
        <v>20</v>
      </c>
      <c r="D179" t="s">
        <v>20</v>
      </c>
      <c r="E179" t="s">
        <v>13</v>
      </c>
      <c r="F179" s="8">
        <v>45351</v>
      </c>
      <c r="G179">
        <v>4</v>
      </c>
      <c r="H179">
        <v>157023</v>
      </c>
      <c r="I179" t="s">
        <v>32</v>
      </c>
      <c r="J179" t="s">
        <v>25</v>
      </c>
      <c r="K179" t="s">
        <v>54</v>
      </c>
      <c r="L179" s="8">
        <v>45355</v>
      </c>
      <c r="M179" s="9" t="str">
        <f t="shared" si="5"/>
        <v>Feb</v>
      </c>
    </row>
    <row r="180" spans="2:13">
      <c r="B180" t="s">
        <v>268</v>
      </c>
      <c r="C180">
        <v>18</v>
      </c>
      <c r="D180" t="s">
        <v>24</v>
      </c>
      <c r="E180" t="s">
        <v>14</v>
      </c>
      <c r="F180" s="8">
        <v>45469</v>
      </c>
      <c r="G180">
        <v>1</v>
      </c>
      <c r="H180">
        <v>107388</v>
      </c>
      <c r="I180" t="s">
        <v>22</v>
      </c>
      <c r="J180" t="s">
        <v>28</v>
      </c>
      <c r="K180" t="s">
        <v>54</v>
      </c>
      <c r="L180" s="8">
        <v>45470</v>
      </c>
      <c r="M180" s="9" t="str">
        <f t="shared" si="5"/>
        <v>Jun</v>
      </c>
    </row>
    <row r="181" spans="2:13">
      <c r="B181" t="s">
        <v>269</v>
      </c>
      <c r="C181">
        <v>22</v>
      </c>
      <c r="D181" t="s">
        <v>24</v>
      </c>
      <c r="E181" t="s">
        <v>16</v>
      </c>
      <c r="F181" s="8">
        <v>45319</v>
      </c>
      <c r="G181">
        <v>8</v>
      </c>
      <c r="H181">
        <v>28007</v>
      </c>
      <c r="I181" t="s">
        <v>32</v>
      </c>
      <c r="J181" t="s">
        <v>10</v>
      </c>
      <c r="K181" t="s">
        <v>54</v>
      </c>
      <c r="L181" s="8">
        <v>45327</v>
      </c>
      <c r="M181" s="9" t="str">
        <f t="shared" si="5"/>
        <v>Jan</v>
      </c>
    </row>
    <row r="182" spans="2:13">
      <c r="B182" t="s">
        <v>270</v>
      </c>
      <c r="C182">
        <v>43</v>
      </c>
      <c r="D182" t="s">
        <v>24</v>
      </c>
      <c r="E182" t="s">
        <v>13</v>
      </c>
      <c r="F182" s="8">
        <v>45392</v>
      </c>
      <c r="G182">
        <v>1</v>
      </c>
      <c r="H182">
        <v>277802</v>
      </c>
      <c r="I182" t="s">
        <v>22</v>
      </c>
      <c r="J182" t="s">
        <v>25</v>
      </c>
      <c r="K182" t="s">
        <v>54</v>
      </c>
      <c r="L182" s="8">
        <v>45393</v>
      </c>
      <c r="M182" s="9" t="str">
        <f t="shared" si="5"/>
        <v>Apr</v>
      </c>
    </row>
    <row r="183" spans="2:13">
      <c r="B183" t="s">
        <v>271</v>
      </c>
      <c r="C183">
        <v>72</v>
      </c>
      <c r="D183" t="s">
        <v>24</v>
      </c>
      <c r="E183" t="s">
        <v>15</v>
      </c>
      <c r="F183" s="8">
        <v>45332</v>
      </c>
      <c r="G183">
        <v>3</v>
      </c>
      <c r="H183">
        <v>455048</v>
      </c>
      <c r="I183" t="s">
        <v>32</v>
      </c>
      <c r="J183" t="s">
        <v>25</v>
      </c>
      <c r="K183" t="s">
        <v>54</v>
      </c>
      <c r="L183" s="8">
        <v>45335</v>
      </c>
      <c r="M183" s="9" t="str">
        <f t="shared" si="5"/>
        <v>Feb</v>
      </c>
    </row>
    <row r="184" spans="2:13">
      <c r="B184" t="s">
        <v>272</v>
      </c>
      <c r="C184">
        <v>31</v>
      </c>
      <c r="D184" t="s">
        <v>24</v>
      </c>
      <c r="E184" t="s">
        <v>13</v>
      </c>
      <c r="F184" s="8">
        <v>45446</v>
      </c>
      <c r="G184">
        <v>13</v>
      </c>
      <c r="H184">
        <v>78596</v>
      </c>
      <c r="I184" t="s">
        <v>29</v>
      </c>
      <c r="J184" t="s">
        <v>21</v>
      </c>
      <c r="K184" t="s">
        <v>54</v>
      </c>
      <c r="L184" s="8">
        <v>45459</v>
      </c>
      <c r="M184" s="9" t="str">
        <f t="shared" si="5"/>
        <v>Jun</v>
      </c>
    </row>
    <row r="185" spans="2:13">
      <c r="B185" t="s">
        <v>273</v>
      </c>
      <c r="C185">
        <v>56</v>
      </c>
      <c r="D185" t="s">
        <v>24</v>
      </c>
      <c r="E185" t="s">
        <v>13</v>
      </c>
      <c r="F185" s="8">
        <v>45436</v>
      </c>
      <c r="G185">
        <v>4</v>
      </c>
      <c r="H185">
        <v>403245</v>
      </c>
      <c r="I185" t="s">
        <v>26</v>
      </c>
      <c r="J185" t="s">
        <v>25</v>
      </c>
      <c r="K185" t="s">
        <v>53</v>
      </c>
      <c r="L185" s="8">
        <v>45440</v>
      </c>
      <c r="M185" s="9" t="str">
        <f t="shared" si="5"/>
        <v>May</v>
      </c>
    </row>
    <row r="186" spans="2:13">
      <c r="B186" t="s">
        <v>274</v>
      </c>
      <c r="C186">
        <v>44</v>
      </c>
      <c r="D186" t="s">
        <v>20</v>
      </c>
      <c r="E186" t="s">
        <v>14</v>
      </c>
      <c r="F186" s="8">
        <v>45452</v>
      </c>
      <c r="G186">
        <v>8</v>
      </c>
      <c r="H186">
        <v>443739</v>
      </c>
      <c r="I186" t="s">
        <v>32</v>
      </c>
      <c r="J186" t="s">
        <v>10</v>
      </c>
      <c r="K186" t="s">
        <v>54</v>
      </c>
      <c r="L186" s="8">
        <v>45460</v>
      </c>
      <c r="M186" s="9" t="str">
        <f t="shared" si="5"/>
        <v>Jun</v>
      </c>
    </row>
    <row r="187" spans="2:13">
      <c r="B187" t="s">
        <v>275</v>
      </c>
      <c r="C187">
        <v>26</v>
      </c>
      <c r="D187" t="s">
        <v>20</v>
      </c>
      <c r="E187" t="s">
        <v>15</v>
      </c>
      <c r="F187" s="8">
        <v>45448</v>
      </c>
      <c r="G187">
        <v>6</v>
      </c>
      <c r="H187">
        <v>371005</v>
      </c>
      <c r="I187" t="s">
        <v>32</v>
      </c>
      <c r="J187" t="s">
        <v>10</v>
      </c>
      <c r="K187" t="s">
        <v>54</v>
      </c>
      <c r="L187" s="8">
        <v>45454</v>
      </c>
      <c r="M187" s="9" t="str">
        <f t="shared" si="5"/>
        <v>Jun</v>
      </c>
    </row>
    <row r="188" spans="2:13">
      <c r="B188" t="s">
        <v>276</v>
      </c>
      <c r="C188">
        <v>32</v>
      </c>
      <c r="D188" t="s">
        <v>24</v>
      </c>
      <c r="E188" t="s">
        <v>13</v>
      </c>
      <c r="F188" s="8">
        <v>45432</v>
      </c>
      <c r="G188">
        <v>14</v>
      </c>
      <c r="H188">
        <v>275266</v>
      </c>
      <c r="I188" t="s">
        <v>26</v>
      </c>
      <c r="J188" t="s">
        <v>21</v>
      </c>
      <c r="K188" t="s">
        <v>54</v>
      </c>
      <c r="L188" s="8">
        <v>45446</v>
      </c>
      <c r="M188" s="9" t="str">
        <f t="shared" si="5"/>
        <v>May</v>
      </c>
    </row>
    <row r="189" spans="2:13">
      <c r="B189" t="s">
        <v>277</v>
      </c>
      <c r="C189">
        <v>32</v>
      </c>
      <c r="D189" t="s">
        <v>20</v>
      </c>
      <c r="E189" t="s">
        <v>16</v>
      </c>
      <c r="F189" s="8">
        <v>45337</v>
      </c>
      <c r="G189">
        <v>10</v>
      </c>
      <c r="H189">
        <v>368884</v>
      </c>
      <c r="I189" t="s">
        <v>32</v>
      </c>
      <c r="J189" t="s">
        <v>10</v>
      </c>
      <c r="K189" t="s">
        <v>54</v>
      </c>
      <c r="L189" s="8">
        <v>45347</v>
      </c>
      <c r="M189" s="9" t="str">
        <f t="shared" si="5"/>
        <v>Feb</v>
      </c>
    </row>
    <row r="190" spans="2:13">
      <c r="B190" t="s">
        <v>278</v>
      </c>
      <c r="C190">
        <v>43</v>
      </c>
      <c r="D190" t="s">
        <v>20</v>
      </c>
      <c r="E190" t="s">
        <v>16</v>
      </c>
      <c r="F190" s="8">
        <v>45326</v>
      </c>
      <c r="G190">
        <v>12</v>
      </c>
      <c r="H190">
        <v>35524</v>
      </c>
      <c r="I190" t="s">
        <v>32</v>
      </c>
      <c r="J190" t="s">
        <v>28</v>
      </c>
      <c r="K190" t="s">
        <v>54</v>
      </c>
      <c r="L190" s="8">
        <v>45338</v>
      </c>
      <c r="M190" s="9" t="str">
        <f t="shared" si="5"/>
        <v>Feb</v>
      </c>
    </row>
    <row r="191" spans="2:13">
      <c r="B191" t="s">
        <v>279</v>
      </c>
      <c r="C191">
        <v>59</v>
      </c>
      <c r="D191" t="s">
        <v>20</v>
      </c>
      <c r="E191" t="s">
        <v>12</v>
      </c>
      <c r="F191" s="8">
        <v>45425</v>
      </c>
      <c r="G191">
        <v>7</v>
      </c>
      <c r="H191">
        <v>432498</v>
      </c>
      <c r="I191" t="s">
        <v>22</v>
      </c>
      <c r="J191" t="s">
        <v>10</v>
      </c>
      <c r="K191" t="s">
        <v>54</v>
      </c>
      <c r="L191" s="8">
        <v>45432</v>
      </c>
      <c r="M191" s="9" t="str">
        <f t="shared" si="5"/>
        <v>May</v>
      </c>
    </row>
    <row r="192" spans="2:13">
      <c r="B192" t="s">
        <v>280</v>
      </c>
      <c r="C192">
        <v>77</v>
      </c>
      <c r="D192" t="s">
        <v>20</v>
      </c>
      <c r="E192" t="s">
        <v>15</v>
      </c>
      <c r="F192" s="8">
        <v>45373</v>
      </c>
      <c r="G192">
        <v>14</v>
      </c>
      <c r="H192">
        <v>175002</v>
      </c>
      <c r="I192" t="s">
        <v>26</v>
      </c>
      <c r="J192" t="s">
        <v>10</v>
      </c>
      <c r="K192" t="s">
        <v>54</v>
      </c>
      <c r="L192" s="8">
        <v>45387</v>
      </c>
      <c r="M192" s="9" t="str">
        <f t="shared" si="5"/>
        <v>Mar</v>
      </c>
    </row>
    <row r="193" spans="2:13">
      <c r="B193" t="s">
        <v>281</v>
      </c>
      <c r="C193">
        <v>30</v>
      </c>
      <c r="D193" t="s">
        <v>24</v>
      </c>
      <c r="E193" t="s">
        <v>15</v>
      </c>
      <c r="F193" s="8">
        <v>45406</v>
      </c>
      <c r="G193">
        <v>8</v>
      </c>
      <c r="H193">
        <v>413293</v>
      </c>
      <c r="I193" t="s">
        <v>29</v>
      </c>
      <c r="J193" t="s">
        <v>25</v>
      </c>
      <c r="K193" t="s">
        <v>54</v>
      </c>
      <c r="L193" s="8">
        <v>45414</v>
      </c>
      <c r="M193" s="9" t="str">
        <f t="shared" si="5"/>
        <v>Apr</v>
      </c>
    </row>
    <row r="194" spans="2:13">
      <c r="B194" t="s">
        <v>282</v>
      </c>
      <c r="C194">
        <v>68</v>
      </c>
      <c r="D194" t="s">
        <v>20</v>
      </c>
      <c r="E194" t="s">
        <v>12</v>
      </c>
      <c r="F194" s="8">
        <v>45338</v>
      </c>
      <c r="G194">
        <v>2</v>
      </c>
      <c r="H194">
        <v>145501</v>
      </c>
      <c r="I194" t="s">
        <v>32</v>
      </c>
      <c r="J194" t="s">
        <v>25</v>
      </c>
      <c r="K194" t="s">
        <v>54</v>
      </c>
      <c r="L194" s="8">
        <v>45340</v>
      </c>
      <c r="M194" s="9" t="str">
        <f t="shared" si="5"/>
        <v>Feb</v>
      </c>
    </row>
    <row r="195" spans="2:13">
      <c r="B195" t="s">
        <v>283</v>
      </c>
      <c r="C195">
        <v>49</v>
      </c>
      <c r="D195" t="s">
        <v>20</v>
      </c>
      <c r="E195" t="s">
        <v>13</v>
      </c>
      <c r="F195" s="8">
        <v>45444</v>
      </c>
      <c r="G195">
        <v>13</v>
      </c>
      <c r="H195">
        <v>302755</v>
      </c>
      <c r="I195" t="s">
        <v>26</v>
      </c>
      <c r="J195" t="s">
        <v>10</v>
      </c>
      <c r="K195" t="s">
        <v>54</v>
      </c>
      <c r="L195" s="8">
        <v>45457</v>
      </c>
      <c r="M195" s="9" t="str">
        <f t="shared" si="5"/>
        <v>Jun</v>
      </c>
    </row>
    <row r="196" spans="2:13">
      <c r="B196" t="s">
        <v>284</v>
      </c>
      <c r="C196">
        <v>56</v>
      </c>
      <c r="D196" t="s">
        <v>24</v>
      </c>
      <c r="E196" t="s">
        <v>15</v>
      </c>
      <c r="F196" s="8">
        <v>45301</v>
      </c>
      <c r="G196">
        <v>10</v>
      </c>
      <c r="H196">
        <v>168056</v>
      </c>
      <c r="I196" t="s">
        <v>22</v>
      </c>
      <c r="J196" t="s">
        <v>21</v>
      </c>
      <c r="K196" t="s">
        <v>54</v>
      </c>
      <c r="L196" s="8">
        <v>45311</v>
      </c>
      <c r="M196" s="9" t="str">
        <f t="shared" si="5"/>
        <v>Jan</v>
      </c>
    </row>
    <row r="197" spans="2:13">
      <c r="B197" t="s">
        <v>285</v>
      </c>
      <c r="C197">
        <v>66</v>
      </c>
      <c r="D197" t="s">
        <v>24</v>
      </c>
      <c r="E197" t="s">
        <v>16</v>
      </c>
      <c r="F197" s="8">
        <v>45347</v>
      </c>
      <c r="G197">
        <v>14</v>
      </c>
      <c r="H197">
        <v>34060</v>
      </c>
      <c r="I197" t="s">
        <v>29</v>
      </c>
      <c r="J197" t="s">
        <v>25</v>
      </c>
      <c r="K197" t="s">
        <v>54</v>
      </c>
      <c r="L197" s="8">
        <v>45361</v>
      </c>
      <c r="M197" s="9" t="str">
        <f t="shared" si="5"/>
        <v>Feb</v>
      </c>
    </row>
    <row r="198" spans="2:13">
      <c r="B198" t="s">
        <v>286</v>
      </c>
      <c r="C198">
        <v>69</v>
      </c>
      <c r="D198" t="s">
        <v>20</v>
      </c>
      <c r="E198" t="s">
        <v>16</v>
      </c>
      <c r="F198" s="8">
        <v>45321</v>
      </c>
      <c r="G198">
        <v>11</v>
      </c>
      <c r="H198">
        <v>234057</v>
      </c>
      <c r="I198" t="s">
        <v>26</v>
      </c>
      <c r="J198" t="s">
        <v>21</v>
      </c>
      <c r="K198" t="s">
        <v>54</v>
      </c>
      <c r="L198" s="8">
        <v>45332</v>
      </c>
      <c r="M198" s="9" t="str">
        <f t="shared" si="5"/>
        <v>Jan</v>
      </c>
    </row>
    <row r="199" spans="2:13">
      <c r="B199" t="s">
        <v>287</v>
      </c>
      <c r="C199">
        <v>78</v>
      </c>
      <c r="D199" t="s">
        <v>20</v>
      </c>
      <c r="E199" t="s">
        <v>14</v>
      </c>
      <c r="F199" s="8">
        <v>45400</v>
      </c>
      <c r="G199">
        <v>8</v>
      </c>
      <c r="H199">
        <v>497272</v>
      </c>
      <c r="I199" t="s">
        <v>29</v>
      </c>
      <c r="J199" t="s">
        <v>10</v>
      </c>
      <c r="K199" t="s">
        <v>54</v>
      </c>
      <c r="L199" s="8">
        <v>45408</v>
      </c>
      <c r="M199" s="9" t="str">
        <f t="shared" si="5"/>
        <v>Apr</v>
      </c>
    </row>
    <row r="200" spans="2:13">
      <c r="B200" t="s">
        <v>288</v>
      </c>
      <c r="C200">
        <v>49</v>
      </c>
      <c r="D200" t="s">
        <v>20</v>
      </c>
      <c r="E200" t="s">
        <v>15</v>
      </c>
      <c r="F200" s="8">
        <v>45296</v>
      </c>
      <c r="G200">
        <v>3</v>
      </c>
      <c r="H200">
        <v>325447</v>
      </c>
      <c r="I200" t="s">
        <v>29</v>
      </c>
      <c r="J200" t="s">
        <v>10</v>
      </c>
      <c r="K200" t="s">
        <v>54</v>
      </c>
      <c r="L200" s="8">
        <v>45299</v>
      </c>
      <c r="M200" s="9" t="str">
        <f t="shared" si="5"/>
        <v>Jan</v>
      </c>
    </row>
    <row r="201" spans="2:13">
      <c r="B201" t="s">
        <v>289</v>
      </c>
      <c r="C201">
        <v>21</v>
      </c>
      <c r="D201" t="s">
        <v>20</v>
      </c>
      <c r="E201" t="s">
        <v>13</v>
      </c>
      <c r="F201" s="8">
        <v>45410</v>
      </c>
      <c r="G201">
        <v>7</v>
      </c>
      <c r="H201">
        <v>210279</v>
      </c>
      <c r="I201" t="s">
        <v>29</v>
      </c>
      <c r="J201" t="s">
        <v>28</v>
      </c>
      <c r="K201" t="s">
        <v>54</v>
      </c>
      <c r="L201" s="8">
        <v>45417</v>
      </c>
      <c r="M201" s="9" t="str">
        <f t="shared" si="5"/>
        <v>Apr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V4:AK98"/>
  <sheetViews>
    <sheetView showGridLines="0" tabSelected="1" topLeftCell="Z4" zoomScale="105" zoomScaleNormal="105" workbookViewId="0">
      <selection activeCell="AM8" sqref="AM8"/>
    </sheetView>
  </sheetViews>
  <sheetFormatPr defaultColWidth="9.140625" defaultRowHeight="15"/>
  <cols>
    <col min="1" max="16384" width="9.140625" style="1"/>
  </cols>
  <sheetData>
    <row r="4" spans="24:37" ht="30">
      <c r="X4" s="2" t="s">
        <v>290</v>
      </c>
      <c r="AK4" s="2" t="s">
        <v>349</v>
      </c>
    </row>
    <row r="5" spans="24:37">
      <c r="AK5" s="3" t="s">
        <v>291</v>
      </c>
    </row>
    <row r="6" spans="24:37">
      <c r="X6" s="1" t="s">
        <v>292</v>
      </c>
      <c r="AK6" s="3" t="s">
        <v>293</v>
      </c>
    </row>
    <row r="7" spans="24:37">
      <c r="X7" s="1">
        <v>2</v>
      </c>
      <c r="Y7" s="1" t="s">
        <v>294</v>
      </c>
      <c r="AK7" s="4" t="s">
        <v>295</v>
      </c>
    </row>
    <row r="8" spans="24:37">
      <c r="X8" s="1">
        <v>3</v>
      </c>
      <c r="Y8" s="1" t="s">
        <v>296</v>
      </c>
      <c r="AK8" s="4" t="s">
        <v>297</v>
      </c>
    </row>
    <row r="9" spans="24:37">
      <c r="X9" s="1" t="s">
        <v>298</v>
      </c>
      <c r="AK9" s="4" t="s">
        <v>299</v>
      </c>
    </row>
    <row r="10" spans="24:37">
      <c r="X10" s="1" t="s">
        <v>300</v>
      </c>
      <c r="AK10" s="3" t="s">
        <v>301</v>
      </c>
    </row>
    <row r="11" spans="24:37">
      <c r="X11" s="1">
        <v>2</v>
      </c>
      <c r="Y11" s="1" t="s">
        <v>302</v>
      </c>
      <c r="AK11" s="4" t="s">
        <v>303</v>
      </c>
    </row>
    <row r="12" spans="24:37">
      <c r="X12" s="1">
        <v>3</v>
      </c>
      <c r="Y12" s="1" t="s">
        <v>304</v>
      </c>
      <c r="AK12" s="4" t="s">
        <v>305</v>
      </c>
    </row>
    <row r="13" spans="24:37">
      <c r="X13" s="1" t="s">
        <v>306</v>
      </c>
      <c r="AK13" s="3" t="s">
        <v>307</v>
      </c>
    </row>
    <row r="14" spans="24:37">
      <c r="X14" s="1">
        <v>2</v>
      </c>
      <c r="Y14" s="1" t="s">
        <v>308</v>
      </c>
      <c r="AK14" s="3" t="s">
        <v>309</v>
      </c>
    </row>
    <row r="15" spans="24:37">
      <c r="X15" s="1">
        <v>3</v>
      </c>
      <c r="Y15" s="1" t="s">
        <v>310</v>
      </c>
      <c r="AK15" s="3" t="s">
        <v>311</v>
      </c>
    </row>
    <row r="16" spans="24:37">
      <c r="X16" s="1" t="s">
        <v>312</v>
      </c>
      <c r="AK16" s="3" t="s">
        <v>313</v>
      </c>
    </row>
    <row r="17" spans="24:25">
      <c r="X17" s="1">
        <v>2</v>
      </c>
      <c r="Y17" s="1" t="s">
        <v>314</v>
      </c>
    </row>
    <row r="18" spans="24:25">
      <c r="X18" s="1">
        <v>3</v>
      </c>
      <c r="Y18" s="1" t="s">
        <v>315</v>
      </c>
    </row>
    <row r="19" spans="24:25">
      <c r="X19" s="1" t="s">
        <v>316</v>
      </c>
    </row>
    <row r="20" spans="24:25">
      <c r="X20" s="1">
        <v>2</v>
      </c>
      <c r="Y20" s="1" t="s">
        <v>317</v>
      </c>
    </row>
    <row r="21" spans="24:25">
      <c r="X21" s="1" t="s">
        <v>318</v>
      </c>
    </row>
    <row r="22" spans="24:25">
      <c r="X22" s="1">
        <v>2</v>
      </c>
      <c r="Y22" s="1" t="s">
        <v>319</v>
      </c>
    </row>
    <row r="23" spans="24:25">
      <c r="X23" s="1">
        <v>3</v>
      </c>
      <c r="Y23" s="1" t="s">
        <v>320</v>
      </c>
    </row>
    <row r="30" spans="24:25">
      <c r="X30" s="1" t="s">
        <v>321</v>
      </c>
    </row>
    <row r="31" spans="24:25">
      <c r="X31" s="1">
        <v>2</v>
      </c>
      <c r="Y31" s="1" t="s">
        <v>322</v>
      </c>
    </row>
    <row r="32" spans="24:25">
      <c r="X32" s="1">
        <v>3</v>
      </c>
      <c r="Y32" s="1" t="s">
        <v>323</v>
      </c>
    </row>
    <row r="33" spans="23:25">
      <c r="X33" s="1" t="s">
        <v>324</v>
      </c>
    </row>
    <row r="34" spans="23:25">
      <c r="X34" s="1" t="s">
        <v>325</v>
      </c>
    </row>
    <row r="35" spans="23:25">
      <c r="X35" s="1">
        <v>6</v>
      </c>
      <c r="Y35" s="1" t="s">
        <v>326</v>
      </c>
    </row>
    <row r="48" spans="23:25">
      <c r="W48" s="1" t="s">
        <v>327</v>
      </c>
    </row>
    <row r="49" spans="22:24">
      <c r="W49" s="1">
        <v>2</v>
      </c>
      <c r="X49" s="1" t="s">
        <v>328</v>
      </c>
    </row>
    <row r="50" spans="22:24">
      <c r="W50" s="1">
        <v>3</v>
      </c>
      <c r="X50" s="1" t="s">
        <v>329</v>
      </c>
    </row>
    <row r="51" spans="22:24">
      <c r="V51" s="5"/>
      <c r="W51" s="1" t="s">
        <v>330</v>
      </c>
    </row>
    <row r="52" spans="22:24">
      <c r="V52" s="6"/>
      <c r="W52" s="1">
        <v>2</v>
      </c>
      <c r="X52" s="1" t="s">
        <v>331</v>
      </c>
    </row>
    <row r="53" spans="22:24">
      <c r="V53" s="6"/>
      <c r="W53" s="1">
        <v>3</v>
      </c>
      <c r="X53" s="1" t="s">
        <v>332</v>
      </c>
    </row>
    <row r="54" spans="22:24">
      <c r="V54" s="6"/>
      <c r="W54" s="7"/>
      <c r="X54" s="7"/>
    </row>
    <row r="55" spans="22:24">
      <c r="V55" s="6"/>
      <c r="W55" s="1" t="s">
        <v>333</v>
      </c>
    </row>
    <row r="56" spans="22:24">
      <c r="V56" s="6"/>
      <c r="W56" s="1">
        <v>2</v>
      </c>
      <c r="X56" s="1" t="s">
        <v>334</v>
      </c>
    </row>
    <row r="57" spans="22:24">
      <c r="V57" s="6"/>
      <c r="W57" s="1">
        <v>3</v>
      </c>
      <c r="X57" s="1" t="s">
        <v>335</v>
      </c>
    </row>
    <row r="59" spans="22:24">
      <c r="W59" s="1" t="s">
        <v>336</v>
      </c>
    </row>
    <row r="60" spans="22:24">
      <c r="W60" s="1">
        <v>2</v>
      </c>
      <c r="X60" s="1" t="s">
        <v>337</v>
      </c>
    </row>
    <row r="61" spans="22:24">
      <c r="W61" s="1">
        <v>3</v>
      </c>
      <c r="X61" s="1" t="s">
        <v>338</v>
      </c>
    </row>
    <row r="70" spans="24:24">
      <c r="X70" s="1" t="s">
        <v>339</v>
      </c>
    </row>
    <row r="71" spans="24:24">
      <c r="X71" s="1" t="s">
        <v>340</v>
      </c>
    </row>
    <row r="73" spans="24:24">
      <c r="X73" s="1" t="s">
        <v>341</v>
      </c>
    </row>
    <row r="74" spans="24:24">
      <c r="X74" s="1" t="s">
        <v>342</v>
      </c>
    </row>
    <row r="93" spans="23:24">
      <c r="W93" s="1" t="s">
        <v>343</v>
      </c>
    </row>
    <row r="94" spans="23:24">
      <c r="W94" s="1">
        <v>2</v>
      </c>
      <c r="X94" s="1" t="s">
        <v>344</v>
      </c>
    </row>
    <row r="95" spans="23:24">
      <c r="W95" s="1">
        <v>3</v>
      </c>
      <c r="X95" s="1" t="s">
        <v>345</v>
      </c>
    </row>
    <row r="96" spans="23:24">
      <c r="W96" s="1" t="s">
        <v>346</v>
      </c>
    </row>
    <row r="97" spans="23:24">
      <c r="W97" s="1">
        <v>2</v>
      </c>
      <c r="X97" s="1" t="s">
        <v>347</v>
      </c>
    </row>
    <row r="98" spans="23:24">
      <c r="W98" s="1">
        <v>3</v>
      </c>
      <c r="X98" s="1" t="s">
        <v>348</v>
      </c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Health 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adetunji Raheem</cp:lastModifiedBy>
  <dcterms:created xsi:type="dcterms:W3CDTF">2026-06-10T20:06:00Z</dcterms:created>
  <dcterms:modified xsi:type="dcterms:W3CDTF">2026-06-22T18:02:43Z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C1254F06096C4EF38F41B3A43A7C8742_13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