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esktop\Raheem Adetunji(Project Portfolio)\"/>
    </mc:Choice>
  </mc:AlternateContent>
  <xr:revisionPtr revIDLastSave="0" documentId="13_ncr:1_{B9445BAB-C25B-4F4C-A80B-ACDDB41D4CEA}" xr6:coauthVersionLast="47" xr6:coauthVersionMax="47" xr10:uidLastSave="{00000000-0000-0000-0000-000000000000}"/>
  <bookViews>
    <workbookView xWindow="-120" yWindow="-120" windowWidth="20730" windowHeight="11160" tabRatio="577" activeTab="3" xr2:uid="{DA07A9E8-BF7F-425E-B171-4059EF1FAE5B}"/>
  </bookViews>
  <sheets>
    <sheet name="Dataset" sheetId="1" r:id="rId1"/>
    <sheet name="Data 2" sheetId="2" r:id="rId2"/>
    <sheet name="Analysis" sheetId="3" r:id="rId3"/>
    <sheet name="Dashboard" sheetId="8" r:id="rId4"/>
  </sheets>
  <definedNames>
    <definedName name="_xlcn.WorksheetConnection_MyProjectRaheemAdetunjiW.xlsxTable21" hidden="1">Table2[]</definedName>
    <definedName name="Slicer_Category">#N/A</definedName>
    <definedName name="Slicer_Customer_Name">#N/A</definedName>
    <definedName name="Slicer_Payment_Type1">#N/A</definedName>
    <definedName name="Slicer_Product_Name">#N/A</definedName>
    <definedName name="Slicer_Region1">#N/A</definedName>
    <definedName name="Slicer_Salesperson">#N/A</definedName>
    <definedName name="Slicer_Shipper_Name">#N/A</definedName>
  </definedNames>
  <calcPr calcId="181029"/>
  <pivotCaches>
    <pivotCache cacheId="124" r:id="rId5"/>
    <pivotCache cacheId="127" r:id="rId6"/>
    <pivotCache cacheId="130" r:id="rId7"/>
    <pivotCache cacheId="133" r:id="rId8"/>
    <pivotCache cacheId="136" r:id="rId9"/>
    <pivotCache cacheId="139" r:id="rId10"/>
    <pivotCache cacheId="142" r:id="rId11"/>
    <pivotCache cacheId="145" r:id="rId12"/>
    <pivotCache cacheId="148" r:id="rId13"/>
    <pivotCache cacheId="151" r:id="rId14"/>
    <pivotCache cacheId="154" r:id="rId15"/>
    <pivotCache cacheId="157" r:id="rId16"/>
    <pivotCache cacheId="160" r:id="rId17"/>
    <pivotCache cacheId="163" r:id="rId18"/>
    <pivotCache cacheId="166" r:id="rId19"/>
    <pivotCache cacheId="169" r:id="rId20"/>
    <pivotCache cacheId="172" r:id="rId21"/>
    <pivotCache cacheId="175" r:id="rId22"/>
    <pivotCache cacheId="178" r:id="rId23"/>
    <pivotCache cacheId="181" r:id="rId24"/>
    <pivotCache cacheId="184" r:id="rId25"/>
    <pivotCache cacheId="187" r:id="rId26"/>
    <pivotCache cacheId="190" r:id="rId27"/>
    <pivotCache cacheId="193" r:id="rId28"/>
    <pivotCache cacheId="196" r:id="rId29"/>
    <pivotCache cacheId="199" r:id="rId30"/>
    <pivotCache cacheId="202" r:id="rId31"/>
    <pivotCache cacheId="205" r:id="rId32"/>
    <pivotCache cacheId="208" r:id="rId33"/>
    <pivotCache cacheId="211" r:id="rId34"/>
  </pivotCaches>
  <extLst>
    <ext xmlns:x14="http://schemas.microsoft.com/office/spreadsheetml/2009/9/main" uri="{876F7934-8845-4945-9796-88D515C7AA90}">
      <x14:pivotCaches>
        <pivotCache cacheId="31" r:id="rId35"/>
      </x14:pivotCaches>
    </ext>
    <ext xmlns:x14="http://schemas.microsoft.com/office/spreadsheetml/2009/9/main" uri="{BBE1A952-AA13-448e-AADC-164F8A28A991}">
      <x14:slicerCaches>
        <x14:slicerCache r:id="rId36"/>
        <x14:slicerCache r:id="rId37"/>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My Project(Raheem Adetunji W).xlsx!Table2"/>
        </x15:modelTable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17" i="3" l="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F2" i="1" l="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R11" i="3"/>
  <c r="U14" i="3" s="1"/>
  <c r="R8" i="3"/>
  <c r="W8" i="3"/>
  <c r="R5" i="3"/>
  <c r="R14" i="3"/>
  <c r="U17" i="3" l="1"/>
  <c r="W14" i="3"/>
  <c r="U11" i="3"/>
  <c r="W11" i="3"/>
  <c r="AB15" i="1"/>
  <c r="AB2" i="1"/>
  <c r="AB3" i="1"/>
  <c r="AB4" i="1"/>
  <c r="AB5" i="1"/>
  <c r="AB6" i="1"/>
  <c r="AB7" i="1"/>
  <c r="AB8" i="1"/>
  <c r="AB9" i="1"/>
  <c r="AB10" i="1"/>
  <c r="AB11" i="1"/>
  <c r="AB12" i="1"/>
  <c r="AB13" i="1"/>
  <c r="AB14"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U7" i="3"/>
  <c r="U5" i="3" l="1"/>
  <c r="W5" i="3"/>
  <c r="L32" i="2"/>
  <c r="L31" i="2"/>
  <c r="L27" i="2"/>
  <c r="L26" i="2"/>
  <c r="L25" i="2"/>
  <c r="L24" i="2"/>
  <c r="L23" i="2"/>
  <c r="L22" i="2"/>
  <c r="L21" i="2"/>
  <c r="L20" i="2"/>
  <c r="L19" i="2"/>
  <c r="L18" i="2"/>
  <c r="L17" i="2"/>
  <c r="L13" i="2"/>
  <c r="L12" i="2"/>
  <c r="L11" i="2"/>
  <c r="L9" i="2"/>
  <c r="L8" i="2"/>
  <c r="L7" i="2"/>
  <c r="L6" i="2"/>
  <c r="L5" i="2"/>
  <c r="L4" i="2"/>
  <c r="L3" i="2"/>
  <c r="L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F99FA5-0746-4328-AA38-8D3A203B485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63B298A-2E03-445A-9B19-D2B5AEDE1A51}" name="WorksheetConnection_My Project(Raheem Adetunji W).xlsx!Table2" type="102" refreshedVersion="7" minRefreshableVersion="5">
    <extLst>
      <ext xmlns:x15="http://schemas.microsoft.com/office/spreadsheetml/2010/11/main" uri="{DE250136-89BD-433C-8126-D09CA5730AF9}">
        <x15:connection id="Table2" autoDelete="1">
          <x15:rangePr sourceName="_xlcn.WorksheetConnection_MyProjectRaheemAdetunjiW.xlsxTable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Table2].[Customer Name].[All]}"/>
    <s v="{[Table2].[State].[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<sst xmlns="http://schemas.openxmlformats.org/spreadsheetml/2006/main" count="2089" uniqueCount="220">
  <si>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</si>
  <si>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</si>
  <si>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</si>
  <si>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</si>
  <si>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</si>
  <si>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</si>
  <si>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</si>
  <si>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</si>
  <si>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</si>
  <si>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</si>
  <si>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</si>
  <si>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</si>
  <si>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</si>
  <si>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</si>
  <si>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</si>
  <si>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</si>
  <si>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</si>
  <si>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</si>
  <si>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</si>
  <si>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</si>
  <si>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</si>
  <si>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</si>
  <si>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</si>
  <si>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</si>
  <si>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</si>
  <si>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</si>
  <si>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</si>
  <si>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</si>
  <si>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</si>
  <si>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</si>
  <si>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</si>
  <si>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</si>
  <si>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</si>
  <si>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</si>
  <si>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</si>
  <si>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</si>
  <si>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</si>
  <si>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</si>
  <si>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</si>
  <si>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</si>
  <si>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</si>
  <si>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</si>
  <si>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</si>
  <si>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</si>
  <si>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</si>
  <si>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</si>
  <si>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</si>
  <si>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</si>
  <si>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</si>
  <si>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</si>
  <si>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</si>
  <si>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</si>
  <si>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</si>
  <si>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</si>
  <si>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</si>
  <si>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</si>
  <si>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</si>
  <si>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</si>
  <si>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</si>
  <si>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</si>
  <si>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</si>
  <si>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</si>
  <si>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</si>
  <si>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</si>
  <si>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</si>
  <si>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</si>
  <si>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</si>
  <si>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</si>
  <si>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</si>
  <si>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</si>
  <si>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</si>
  <si>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</si>
  <si>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</si>
  <si>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</si>
  <si>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</si>
  <si>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</si>
  <si>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</si>
  <si>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</si>
  <si>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</si>
  <si>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</si>
  <si>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</si>
  <si>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</si>
  <si>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</si>
  <si>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</si>
  <si>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</si>
  <si>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</si>
  <si>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</si>
  <si>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</si>
  <si>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</si>
  <si>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</si>
  <si>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</si>
  <si>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</si>
  <si>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</si>
  <si>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</si>
  <si>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</si>
  <si>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</si>
  <si>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</si>
  <si>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</si>
  <si>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</si>
  <si>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</si>
  <si>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</si>
  <si>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</si>
  <si>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</si>
  <si>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</si>
  <si>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</si>
  <si>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</si>
  <si>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</si>
  <si>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</si>
  <si>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</si>
  <si>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</si>
  <si>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</si>
  <si>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</si>
  <si>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</si>
  <si>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</si>
  <si>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</si>
  <si>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</si>
  <si>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</si>
  <si>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</si>
  <si>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</si>
  <si>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</si>
  <si>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</si>
  <si>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</si>
  <si>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</si>
  <si>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</si>
  <si>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</si>
  <si>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</si>
  <si>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</si>
  <si>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</si>
  <si>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</si>
  <si>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</si>
  <si>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</si>
  <si>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</si>
  <si>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</si>
  <si>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</si>
  <si>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</si>
  <si>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Company Y</t>
  </si>
  <si>
    <t>789 25th Street</t>
  </si>
  <si>
    <t>John Rodman</t>
  </si>
  <si>
    <t>Scones</t>
  </si>
  <si>
    <t>Company Z</t>
  </si>
  <si>
    <t>789 26th Street</t>
  </si>
  <si>
    <t>Run Liu</t>
  </si>
  <si>
    <t>Olive Oil</t>
  </si>
  <si>
    <t>Oil</t>
  </si>
  <si>
    <t>Marmalade</t>
  </si>
  <si>
    <t>Long Grain Rice</t>
  </si>
  <si>
    <t>Grains</t>
  </si>
  <si>
    <t>Syrup</t>
  </si>
  <si>
    <t>Almonds</t>
  </si>
  <si>
    <t>Fruit Cocktail</t>
  </si>
  <si>
    <t>Fruit &amp; Veg</t>
  </si>
  <si>
    <t>Gnocchi</t>
  </si>
  <si>
    <t>Customer_ID</t>
  </si>
  <si>
    <t>Shipped_Date</t>
  </si>
  <si>
    <t>Shipper_Name</t>
  </si>
  <si>
    <t>Payment_Type</t>
  </si>
  <si>
    <t>Product_Name</t>
  </si>
  <si>
    <t>Grand Total</t>
  </si>
  <si>
    <t>Sum of Revenue</t>
  </si>
  <si>
    <t>Total Revenue</t>
  </si>
  <si>
    <t>Total Customer</t>
  </si>
  <si>
    <t>Sum of Quantity</t>
  </si>
  <si>
    <t>Sum of Shipping Fee</t>
  </si>
  <si>
    <t>Net Revenue After Shipping</t>
  </si>
  <si>
    <t>Total Shipping Fees</t>
  </si>
  <si>
    <t>Total Order</t>
  </si>
  <si>
    <t>Total Quantity Sold</t>
  </si>
  <si>
    <t>Average Order Value</t>
  </si>
  <si>
    <t>Sum of Order ID</t>
  </si>
  <si>
    <t>Count of Customer Name</t>
  </si>
  <si>
    <t>Average unit Price</t>
  </si>
  <si>
    <t>Total unit Price</t>
  </si>
  <si>
    <t>E-commerce Sales, Customer &amp; Logistics Performance Analysis</t>
  </si>
  <si>
    <t>Day</t>
  </si>
  <si>
    <t>Delivery Time</t>
  </si>
  <si>
    <t>Average delivery Time</t>
  </si>
  <si>
    <t>Fri</t>
  </si>
  <si>
    <t>Mon</t>
  </si>
  <si>
    <t>Sat</t>
  </si>
  <si>
    <t>Sun</t>
  </si>
  <si>
    <t>Thu</t>
  </si>
  <si>
    <t>Tue</t>
  </si>
  <si>
    <t>Wed</t>
  </si>
  <si>
    <t>All</t>
  </si>
  <si>
    <t>Mon Total</t>
  </si>
  <si>
    <t>Count of Order Date</t>
  </si>
  <si>
    <t>Purchase Frequency</t>
  </si>
  <si>
    <t>Customer Segmentation</t>
  </si>
  <si>
    <t>Sales Analysis</t>
  </si>
  <si>
    <t>Product Analysis</t>
  </si>
  <si>
    <t>Customer Analysis</t>
  </si>
  <si>
    <t>Shipping Logistic Analysis</t>
  </si>
  <si>
    <t>Count of Delivery Time</t>
  </si>
  <si>
    <t>Payment Method Analysis</t>
  </si>
  <si>
    <t>High_Spender</t>
  </si>
  <si>
    <t>Low_Spender</t>
  </si>
  <si>
    <t>Middle_Spender</t>
  </si>
  <si>
    <t>High_Spender Total</t>
  </si>
  <si>
    <t>Low_Spender Total</t>
  </si>
  <si>
    <t>Middle_Spender Total</t>
  </si>
  <si>
    <t>Count of Order ID</t>
  </si>
  <si>
    <t>Unavailable</t>
  </si>
  <si>
    <t>Weekday</t>
  </si>
  <si>
    <t>Weekend</t>
  </si>
  <si>
    <t>Week Status</t>
  </si>
  <si>
    <t>Orders by Salesperson</t>
  </si>
  <si>
    <t>Revenue by Salesperson</t>
  </si>
  <si>
    <t>Revenue by Region</t>
  </si>
  <si>
    <t>Weekly &amp; Weekend Revenue</t>
  </si>
  <si>
    <t>Daily Sales by Customer</t>
  </si>
  <si>
    <t>Revenue by City</t>
  </si>
  <si>
    <t>Top Best-Selling Product</t>
  </si>
  <si>
    <t>Top Category by Revenue</t>
  </si>
  <si>
    <t>Revenue by Customer</t>
  </si>
  <si>
    <t>Revenue by State</t>
  </si>
  <si>
    <t>Shipping Fee by Region</t>
  </si>
  <si>
    <t>Total Delivery Time</t>
  </si>
  <si>
    <t>Average Spend by Customer</t>
  </si>
  <si>
    <t>Percentage Revenue</t>
  </si>
  <si>
    <t>Customer  lifetime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</si>
</sst>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164" formatCode="mm/dd/yy;@"/>
    <numFmt numFmtId="165" formatCode="&quot;$&quot;#,##0.00"/>
    <numFmt numFmtId="166" formatCode="dd/mm/yy;@"/>
    <numFmt numFmtId="167" formatCode="[$$-409]#,##0.00"/>
    <numFmt numFmtId="168" formatCode="[$$-409]#,##0.00;[Red][$$-409]#,##0.00"/>
    <numFmt numFmtId="169" formatCode="[$$-409]#,##0;[Red][$$-409]#,##0"/>
  </numFmts>
  <fonts count="14">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charset val="134"/>
      <scheme val="minor"/>
    </font>
    <font>
      <b/>
      <sz val="18"/>
      <color rgb="FFFFFFFF"/>
      <name val="Calibri"/>
      <family val="2"/>
      <scheme val="minor"/>
    </font>
    <font>
      <sz val="11"/>
      <color theme="0"/>
      <name val="Calibri"/>
      <family val="2"/>
      <scheme val="minor"/>
    </font>
    <font>
      <b/>
      <sz val="14"/>
      <color theme="0"/>
      <name val="Calibri"/>
      <family val="2"/>
      <scheme val="minor"/>
    </font>
    <font>
      <b/>
      <sz val="16"/>
      <color theme="0"/>
      <name val="Calibri"/>
      <family val="2"/>
      <scheme val="minor"/>
    </font>
    <font>
      <sz val="8"/>
      <name val="Calibri"/>
      <family val="2"/>
      <scheme val="minor"/>
    </font>
    <font>
      <sz val="11"/>
      <name val="Calibri"/>
      <family val="2"/>
      <scheme val="minor"/>
    </font>
    <font>
      <sz val="14"/>
      <name val="Calibri"/>
      <family val="2"/>
      <scheme val="minor"/>
    </font>
    <font>
      <b/>
      <sz val="14"/>
      <name val="Calibri"/>
      <family val="2"/>
      <scheme val="minor"/>
    </font>
    <font>
      <b/>
      <sz val="14"/>
      <color theme="1"/>
      <name val="Calibri"/>
      <family val="2"/>
      <scheme val="minor"/>
    </font>
    <font>
      <b/>
      <sz val="16"/>
      <color theme="1"/>
      <name val="Calibri"/>
      <family val="2"/>
      <scheme val="minor"/>
    </font>
  </fonts>
  <fills count="16">
    <fill>
      <patternFill patternType="none"/>
    </fill>
    <fill>
      <patternFill patternType="gray125"/>
    </fill>
    <fill>
      <patternFill patternType="solid">
        <fgColor theme="0" tint="-0.14996795556505021"/>
        <bgColor indexed="64"/>
      </patternFill>
    </fill>
    <fill>
      <patternFill patternType="solid">
        <fgColor theme="4" tint="0.79998168889431442"/>
        <bgColor theme="4" tint="0.79998168889431442"/>
      </patternFill>
    </fill>
    <fill>
      <patternFill patternType="solid">
        <fgColor theme="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bgColor indexed="64"/>
      </patternFill>
    </fill>
    <fill>
      <patternFill patternType="solid">
        <fgColor rgb="FF92D050"/>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theme="4"/>
        <bgColor indexed="64"/>
      </patternFill>
    </fill>
    <fill>
      <patternFill patternType="solid">
        <fgColor rgb="FFFFFF00"/>
        <bgColor indexed="64"/>
      </patternFill>
    </fill>
  </fills>
  <borders count="3">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57">
    <xf numFmtId="0" fontId="0" fillId="0" borderId="0" xfId="0"/>
    <xf numFmtId="0" fontId="2" fillId="2" borderId="0" xfId="0" applyFont="1" applyFill="1"/>
    <xf numFmtId="164" fontId="0" fillId="0" borderId="0" xfId="0" applyNumberFormat="1"/>
    <xf numFmtId="165" fontId="0" fillId="0" borderId="0" xfId="1" applyNumberFormat="1" applyFont="1"/>
    <xf numFmtId="165" fontId="0" fillId="0" borderId="0" xfId="0" applyNumberFormat="1"/>
    <xf numFmtId="166" fontId="2" fillId="2" borderId="0" xfId="0" applyNumberFormat="1" applyFont="1" applyFill="1"/>
    <xf numFmtId="166" fontId="0" fillId="0" borderId="0" xfId="0" applyNumberFormat="1"/>
    <xf numFmtId="1" fontId="2" fillId="2" borderId="0" xfId="0" applyNumberFormat="1" applyFont="1" applyFill="1"/>
    <xf numFmtId="1" fontId="0" fillId="0" borderId="0" xfId="0" applyNumberFormat="1"/>
    <xf numFmtId="0" fontId="0" fillId="3" borderId="1" xfId="0" applyFont="1" applyFill="1" applyBorder="1"/>
    <xf numFmtId="1" fontId="0" fillId="3" borderId="1" xfId="0" applyNumberFormat="1" applyFont="1" applyFill="1" applyBorder="1"/>
    <xf numFmtId="166" fontId="0" fillId="3" borderId="1" xfId="0" applyNumberFormat="1" applyFont="1" applyFill="1" applyBorder="1"/>
    <xf numFmtId="0" fontId="0" fillId="0" borderId="1" xfId="0" applyFont="1" applyBorder="1"/>
    <xf numFmtId="1" fontId="0" fillId="0" borderId="1" xfId="0" applyNumberFormat="1" applyFont="1" applyBorder="1"/>
    <xf numFmtId="166" fontId="0" fillId="0" borderId="1" xfId="0" applyNumberFormat="1" applyFont="1" applyBorder="1"/>
    <xf numFmtId="49" fontId="0" fillId="3" borderId="1" xfId="0" applyNumberFormat="1" applyFont="1" applyFill="1" applyBorder="1"/>
    <xf numFmtId="49" fontId="0" fillId="0" borderId="1" xfId="0" applyNumberFormat="1" applyFont="1" applyBorder="1"/>
    <xf numFmtId="49" fontId="0" fillId="0" borderId="0" xfId="0" applyNumberFormat="1"/>
    <xf numFmtId="167" fontId="0" fillId="3" borderId="1" xfId="1" applyNumberFormat="1" applyFont="1" applyFill="1" applyBorder="1"/>
    <xf numFmtId="167" fontId="0" fillId="0" borderId="1" xfId="1" applyNumberFormat="1" applyFont="1" applyBorder="1"/>
    <xf numFmtId="167" fontId="0" fillId="0" borderId="0" xfId="0" applyNumberFormat="1"/>
    <xf numFmtId="168" fontId="0" fillId="3" borderId="1" xfId="1" applyNumberFormat="1" applyFont="1" applyFill="1" applyBorder="1"/>
    <xf numFmtId="168" fontId="0" fillId="3" borderId="1" xfId="0" applyNumberFormat="1" applyFont="1" applyFill="1" applyBorder="1"/>
    <xf numFmtId="168" fontId="0" fillId="0" borderId="1" xfId="1" applyNumberFormat="1" applyFont="1" applyBorder="1"/>
    <xf numFmtId="168" fontId="0" fillId="0" borderId="1" xfId="0" applyNumberFormat="1" applyFont="1" applyBorder="1"/>
    <xf numFmtId="168" fontId="0" fillId="0" borderId="0" xfId="0" applyNumberFormat="1"/>
    <xf numFmtId="0" fontId="3" fillId="2" borderId="0" xfId="0" applyFont="1" applyFill="1" applyBorder="1"/>
    <xf numFmtId="166" fontId="3" fillId="2" borderId="0" xfId="0" applyNumberFormat="1" applyFont="1" applyFill="1" applyBorder="1"/>
    <xf numFmtId="1" fontId="3" fillId="2" borderId="0" xfId="0" applyNumberFormat="1" applyFont="1" applyFill="1" applyBorder="1"/>
    <xf numFmtId="49" fontId="3" fillId="2" borderId="0" xfId="0" applyNumberFormat="1" applyFont="1" applyFill="1" applyBorder="1"/>
    <xf numFmtId="167" fontId="3" fillId="2" borderId="0" xfId="0" applyNumberFormat="1" applyFont="1" applyFill="1" applyBorder="1"/>
    <xf numFmtId="168" fontId="3" fillId="2" borderId="0" xfId="0" applyNumberFormat="1" applyFont="1" applyFill="1" applyBorder="1"/>
    <xf numFmtId="0" fontId="0" fillId="0" borderId="0" xfId="0" pivotButton="1"/>
    <xf numFmtId="0" fontId="0" fillId="0" borderId="0" xfId="0" applyNumberFormat="1"/>
    <xf numFmtId="0" fontId="0" fillId="3" borderId="0" xfId="0" applyFont="1" applyFill="1"/>
    <xf numFmtId="2" fontId="0" fillId="0" borderId="0" xfId="0" applyNumberFormat="1"/>
    <xf numFmtId="0" fontId="0" fillId="4" borderId="0" xfId="0" applyFill="1"/>
    <xf numFmtId="0" fontId="4" fillId="0" borderId="0" xfId="0" applyFont="1" applyAlignment="1">
      <alignment horizontal="left" vertical="center"/>
    </xf>
    <xf numFmtId="0" fontId="6" fillId="4" borderId="0" xfId="0" applyFont="1" applyFill="1"/>
    <xf numFmtId="0" fontId="7" fillId="4" borderId="0" xfId="0" applyFont="1" applyFill="1"/>
    <xf numFmtId="169" fontId="0" fillId="0" borderId="0" xfId="0" applyNumberFormat="1"/>
    <xf numFmtId="10" fontId="0" fillId="0" borderId="0" xfId="0" applyNumberFormat="1"/>
    <xf numFmtId="0" fontId="0" fillId="3" borderId="0" xfId="0" applyNumberFormat="1" applyFont="1" applyFill="1"/>
    <xf numFmtId="0" fontId="9" fillId="5" borderId="0" xfId="0" applyFont="1" applyFill="1"/>
    <xf numFmtId="0" fontId="10" fillId="5" borderId="0" xfId="0" applyFont="1" applyFill="1"/>
    <xf numFmtId="0" fontId="11" fillId="7" borderId="0" xfId="0" applyFont="1" applyFill="1"/>
    <xf numFmtId="0" fontId="11" fillId="8" borderId="0" xfId="0" applyFont="1" applyFill="1"/>
    <xf numFmtId="0" fontId="11" fillId="6" borderId="0" xfId="0" applyFont="1" applyFill="1"/>
    <xf numFmtId="0" fontId="12" fillId="9" borderId="0" xfId="0" applyFont="1" applyFill="1"/>
    <xf numFmtId="0" fontId="11" fillId="10" borderId="0" xfId="0" applyFont="1" applyFill="1"/>
    <xf numFmtId="169" fontId="5" fillId="0" borderId="0" xfId="0" applyNumberFormat="1" applyFont="1"/>
    <xf numFmtId="0" fontId="13" fillId="11" borderId="0" xfId="0" applyFont="1" applyFill="1"/>
    <xf numFmtId="0" fontId="12" fillId="12" borderId="0" xfId="0" applyFont="1" applyFill="1"/>
    <xf numFmtId="0" fontId="5" fillId="13" borderId="2" xfId="0" applyFont="1" applyFill="1" applyBorder="1"/>
    <xf numFmtId="0" fontId="12" fillId="14" borderId="0" xfId="0" applyFont="1" applyFill="1"/>
    <xf numFmtId="168" fontId="5" fillId="0" borderId="0" xfId="0" applyNumberFormat="1" applyFont="1"/>
    <xf numFmtId="0" fontId="0" fillId="15" borderId="0" xfId="0" applyFill="1"/>
  </cellXfs>
  <cellStyles count="2">
    <cellStyle name="Currency" xfId="1" builtinId="4"/>
    <cellStyle name="Normal" xfId="0" builtinId="0"/>
  </cellStyles>
  <dxfs count="266">
    <dxf>
      <numFmt numFmtId="169" formatCode="[$$-409]#,##0;[Red][$$-409]#,##0"/>
    </dxf>
    <dxf>
      <numFmt numFmtId="169" formatCode="[$$-409]#,##0;[Red][$$-409]#,##0"/>
    </dxf>
    <dxf>
      <font>
        <color theme="0"/>
      </font>
    </dxf>
    <dxf>
      <font>
        <color theme="0"/>
      </font>
    </dxf>
    <dxf>
      <numFmt numFmtId="168" formatCode="[$$-409]#,##0.00;[Red][$$-409]#,##0.00"/>
    </dxf>
    <dxf>
      <numFmt numFmtId="168" formatCode="[$$-409]#,##0.00;[Red][$$-409]#,##0.00"/>
    </dxf>
    <dxf>
      <numFmt numFmtId="168" formatCode="[$$-409]#,##0.00;[Red][$$-409]#,##0.00"/>
    </dxf>
    <dxf>
      <numFmt numFmtId="169" formatCode="[$$-409]#,##0;[Red][$$-409]#,##0"/>
    </dxf>
    <dxf>
      <numFmt numFmtId="169" formatCode="[$$-409]#,##0;[Red][$$-409]#,##0"/>
    </dxf>
    <dxf>
      <font>
        <color theme="0"/>
      </font>
    </dxf>
    <dxf>
      <numFmt numFmtId="169" formatCode="[$$-409]#,##0;[Red][$$-409]#,##0"/>
    </dxf>
    <dxf>
      <numFmt numFmtId="169" formatCode="[$$-409]#,##0;[Red][$$-409]#,##0"/>
    </dxf>
    <dxf>
      <font>
        <color theme="0"/>
      </font>
    </dxf>
    <dxf>
      <font>
        <color theme="0"/>
      </font>
    </dxf>
    <dxf>
      <numFmt numFmtId="168" formatCode="[$$-409]#,##0.00;[Red][$$-409]#,##0.00"/>
    </dxf>
    <dxf>
      <numFmt numFmtId="168" formatCode="[$$-409]#,##0.00;[Red][$$-409]#,##0.00"/>
    </dxf>
    <dxf>
      <numFmt numFmtId="14" formatCode="0.00%"/>
    </dxf>
    <dxf>
      <numFmt numFmtId="169" formatCode="[$$-409]#,##0;[Red][$$-409]#,##0"/>
    </dxf>
    <dxf>
      <numFmt numFmtId="169" formatCode="[$$-409]#,##0;[Red][$$-409]#,##0"/>
    </dxf>
    <dxf>
      <numFmt numFmtId="169" formatCode="[$$-409]#,##0;[Red][$$-409]#,##0"/>
    </dxf>
    <dxf>
      <numFmt numFmtId="168" formatCode="[$$-409]#,##0.00;[Red][$$-409]#,##0.00"/>
    </dxf>
    <dxf>
      <numFmt numFmtId="168" formatCode="[$$-409]#,##0.00;[Red][$$-409]#,##0.00"/>
    </dxf>
    <dxf>
      <font>
        <color theme="0"/>
      </font>
    </dxf>
    <dxf>
      <numFmt numFmtId="168" formatCode="[$$-409]#,##0.00;[Red][$$-409]#,##0.00"/>
    </dxf>
    <dxf>
      <numFmt numFmtId="168" formatCode="[$$-409]#,##0.00;[Red][$$-409]#,##0.00"/>
    </dxf>
    <dxf>
      <numFmt numFmtId="168" formatCode="[$$-409]#,##0.00;[Red][$$-409]#,##0.00"/>
    </dxf>
    <dxf>
      <numFmt numFmtId="168" formatCode="[$$-409]#,##0.00;[Red][$$-409]#,##0.00"/>
    </dxf>
    <dxf>
      <numFmt numFmtId="168" formatCode="[$$-409]#,##0.00;[Red][$$-409]#,##0.00"/>
    </dxf>
    <dxf>
      <numFmt numFmtId="168" formatCode="[$$-409]#,##0.00;[Red][$$-409]#,##0.00"/>
    </dxf>
    <dxf>
      <font>
        <color theme="0"/>
      </font>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8" formatCode="[$$-409]#,##0.00;[Red][$$-409]#,##0.00"/>
    </dxf>
    <dxf>
      <numFmt numFmtId="168" formatCode="[$$-409]#,##0.00;[Red][$$-409]#,##0.00"/>
    </dxf>
    <dxf>
      <numFmt numFmtId="168" formatCode="[$$-409]#,##0.00;[Red][$$-409]#,##0.00"/>
    </dxf>
    <dxf>
      <numFmt numFmtId="168" formatCode="[$$-409]#,##0.00;[Red][$$-409]#,##0.00"/>
    </dxf>
    <dxf>
      <numFmt numFmtId="168" formatCode="[$$-409]#,##0.00;[Red][$$-409]#,##0.00"/>
    </dxf>
    <dxf>
      <numFmt numFmtId="168" formatCode="[$$-409]#,##0.00;[Red][$$-409]#,##0.00"/>
    </dxf>
    <dxf>
      <numFmt numFmtId="168" formatCode="[$$-409]#,##0.00;[Red][$$-409]#,##0.00"/>
    </dxf>
    <dxf>
      <numFmt numFmtId="168" formatCode="[$$-409]#,##0.00;[Red][$$-409]#,##0.00"/>
    </dxf>
    <dxf>
      <numFmt numFmtId="169" formatCode="[$$-409]#,##0;[Red][$$-409]#,##0"/>
    </dxf>
    <dxf>
      <numFmt numFmtId="169" formatCode="[$$-409]#,##0;[Red][$$-409]#,##0"/>
    </dxf>
    <dxf>
      <font>
        <color theme="0"/>
      </font>
    </dxf>
    <dxf>
      <font>
        <color theme="0"/>
      </font>
    </dxf>
    <dxf>
      <numFmt numFmtId="168" formatCode="[$$-409]#,##0.00;[Red][$$-409]#,##0.00"/>
    </dxf>
    <dxf>
      <numFmt numFmtId="168" formatCode="[$$-409]#,##0.00;[Red][$$-409]#,##0.00"/>
    </dxf>
    <dxf>
      <numFmt numFmtId="168" formatCode="[$$-409]#,##0.00;[Red][$$-409]#,##0.00"/>
    </dxf>
    <dxf>
      <numFmt numFmtId="169" formatCode="[$$-409]#,##0;[Red][$$-409]#,##0"/>
    </dxf>
    <dxf>
      <numFmt numFmtId="169" formatCode="[$$-409]#,##0;[Red][$$-409]#,##0"/>
    </dxf>
    <dxf>
      <font>
        <color theme="0"/>
      </font>
    </dxf>
    <dxf>
      <numFmt numFmtId="169" formatCode="[$$-409]#,##0;[Red][$$-409]#,##0"/>
    </dxf>
    <dxf>
      <numFmt numFmtId="169" formatCode="[$$-409]#,##0;[Red][$$-409]#,##0"/>
    </dxf>
    <dxf>
      <font>
        <color theme="0"/>
      </font>
    </dxf>
    <dxf>
      <font>
        <color theme="0"/>
      </font>
    </dxf>
    <dxf>
      <numFmt numFmtId="168" formatCode="[$$-409]#,##0.00;[Red][$$-409]#,##0.00"/>
    </dxf>
    <dxf>
      <numFmt numFmtId="168" formatCode="[$$-409]#,##0.00;[Red][$$-409]#,##0.00"/>
    </dxf>
    <dxf>
      <numFmt numFmtId="14" formatCode="0.00%"/>
    </dxf>
    <dxf>
      <numFmt numFmtId="169" formatCode="[$$-409]#,##0;[Red][$$-409]#,##0"/>
    </dxf>
    <dxf>
      <numFmt numFmtId="169" formatCode="[$$-409]#,##0;[Red][$$-409]#,##0"/>
    </dxf>
    <dxf>
      <numFmt numFmtId="169" formatCode="[$$-409]#,##0;[Red][$$-409]#,##0"/>
    </dxf>
    <dxf>
      <numFmt numFmtId="168" formatCode="[$$-409]#,##0.00;[Red][$$-409]#,##0.00"/>
    </dxf>
    <dxf>
      <numFmt numFmtId="168" formatCode="[$$-409]#,##0.00;[Red][$$-409]#,##0.00"/>
    </dxf>
    <dxf>
      <font>
        <color theme="0"/>
      </font>
    </dxf>
    <dxf>
      <numFmt numFmtId="168" formatCode="[$$-409]#,##0.00;[Red][$$-409]#,##0.00"/>
    </dxf>
    <dxf>
      <numFmt numFmtId="168" formatCode="[$$-409]#,##0.00;[Red][$$-409]#,##0.00"/>
    </dxf>
    <dxf>
      <numFmt numFmtId="168" formatCode="[$$-409]#,##0.00;[Red][$$-409]#,##0.00"/>
    </dxf>
    <dxf>
      <numFmt numFmtId="168" formatCode="[$$-409]#,##0.00;[Red][$$-409]#,##0.00"/>
    </dxf>
    <dxf>
      <numFmt numFmtId="168" formatCode="[$$-409]#,##0.00;[Red][$$-409]#,##0.00"/>
    </dxf>
    <dxf>
      <numFmt numFmtId="168" formatCode="[$$-409]#,##0.00;[Red][$$-409]#,##0.00"/>
    </dxf>
    <dxf>
      <font>
        <color theme="0"/>
      </font>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8" formatCode="[$$-409]#,##0.00;[Red][$$-409]#,##0.00"/>
    </dxf>
    <dxf>
      <numFmt numFmtId="168" formatCode="[$$-409]#,##0.00;[Red][$$-409]#,##0.00"/>
    </dxf>
    <dxf>
      <numFmt numFmtId="168" formatCode="[$$-409]#,##0.00;[Red][$$-409]#,##0.00"/>
    </dxf>
    <dxf>
      <numFmt numFmtId="168" formatCode="[$$-409]#,##0.00;[Red][$$-409]#,##0.00"/>
    </dxf>
    <dxf>
      <numFmt numFmtId="168" formatCode="[$$-409]#,##0.00;[Red][$$-409]#,##0.00"/>
    </dxf>
    <dxf>
      <numFmt numFmtId="168" formatCode="[$$-409]#,##0.00;[Red][$$-409]#,##0.00"/>
    </dxf>
    <dxf>
      <numFmt numFmtId="168" formatCode="[$$-409]#,##0.00;[Red][$$-409]#,##0.00"/>
    </dxf>
    <dxf>
      <numFmt numFmtId="168" formatCode="[$$-409]#,##0.00;[Red][$$-409]#,##0.00"/>
    </dxf>
    <dxf>
      <font>
        <color theme="0"/>
      </font>
    </dxf>
    <dxf>
      <font>
        <color theme="0"/>
      </font>
    </dxf>
    <dxf>
      <numFmt numFmtId="169" formatCode="[$$-409]#,##0;[Red][$$-409]#,##0"/>
    </dxf>
    <dxf>
      <numFmt numFmtId="169" formatCode="[$$-409]#,##0;[Red][$$-409]#,##0"/>
    </dxf>
    <dxf>
      <numFmt numFmtId="168" formatCode="[$$-409]#,##0.00;[Red][$$-409]#,##0.00"/>
    </dxf>
    <dxf>
      <numFmt numFmtId="168" formatCode="[$$-409]#,##0.00;[Red][$$-409]#,##0.00"/>
    </dxf>
    <dxf>
      <numFmt numFmtId="168" formatCode="[$$-409]#,##0.00;[Red][$$-409]#,##0.00"/>
    </dxf>
    <dxf>
      <numFmt numFmtId="168" formatCode="[$$-409]#,##0.00;[Red][$$-409]#,##0.00"/>
    </dxf>
    <dxf>
      <numFmt numFmtId="168" formatCode="[$$-409]#,##0.00;[Red][$$-409]#,##0.00"/>
    </dxf>
    <dxf>
      <numFmt numFmtId="168" formatCode="[$$-409]#,##0.00;[Red][$$-409]#,##0.00"/>
    </dxf>
    <dxf>
      <numFmt numFmtId="168" formatCode="[$$-409]#,##0.00;[Red][$$-409]#,##0.00"/>
    </dxf>
    <dxf>
      <font>
        <color theme="0"/>
      </font>
    </dxf>
    <dxf>
      <numFmt numFmtId="169" formatCode="[$$-409]#,##0;[Red][$$-409]#,##0"/>
    </dxf>
    <dxf>
      <numFmt numFmtId="169" formatCode="[$$-409]#,##0;[Red][$$-409]#,##0"/>
    </dxf>
    <dxf>
      <numFmt numFmtId="168" formatCode="[$$-409]#,##0.00;[Red][$$-409]#,##0.00"/>
    </dxf>
    <dxf>
      <numFmt numFmtId="168" formatCode="[$$-409]#,##0.00;[Red][$$-409]#,##0.00"/>
    </dxf>
    <dxf>
      <font>
        <color theme="0"/>
      </font>
    </dxf>
    <dxf>
      <numFmt numFmtId="168" formatCode="[$$-409]#,##0.00;[Red][$$-409]#,##0.00"/>
    </dxf>
    <dxf>
      <numFmt numFmtId="168" formatCode="[$$-409]#,##0.00;[Red][$$-409]#,##0.0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numFmt numFmtId="169" formatCode="[$$-409]#,##0;[Red][$$-409]#,##0"/>
    </dxf>
    <dxf>
      <font>
        <color theme="0"/>
      </font>
    </dxf>
    <dxf>
      <numFmt numFmtId="168" formatCode="[$$-409]#,##0.00;[Red][$$-409]#,##0.00"/>
    </dxf>
    <dxf>
      <numFmt numFmtId="168" formatCode="[$$-409]#,##0.00;[Red][$$-409]#,##0.00"/>
    </dxf>
    <dxf>
      <numFmt numFmtId="168" formatCode="[$$-409]#,##0.00;[Red][$$-409]#,##0.00"/>
    </dxf>
    <dxf>
      <numFmt numFmtId="168" formatCode="[$$-409]#,##0.00;[Red][$$-409]#,##0.00"/>
    </dxf>
    <dxf>
      <numFmt numFmtId="168" formatCode="[$$-409]#,##0.00;[Red][$$-409]#,##0.00"/>
    </dxf>
    <dxf>
      <numFmt numFmtId="168" formatCode="[$$-409]#,##0.00;[Red][$$-409]#,##0.00"/>
    </dxf>
    <dxf>
      <numFmt numFmtId="168" formatCode="[$$-409]#,##0.00;[Red][$$-409]#,##0.00"/>
    </dxf>
    <dxf>
      <numFmt numFmtId="168" formatCode="[$$-409]#,##0.00;[Red][$$-409]#,##0.00"/>
    </dxf>
    <dxf>
      <font>
        <color theme="0"/>
      </font>
    </dxf>
    <dxf>
      <font>
        <color theme="0"/>
      </font>
    </dxf>
    <dxf>
      <numFmt numFmtId="169" formatCode="[$$-409]#,##0;[Red][$$-409]#,##0"/>
    </dxf>
    <dxf>
      <numFmt numFmtId="169" formatCode="[$$-409]#,##0;[Red][$$-409]#,##0"/>
    </dxf>
    <dxf>
      <numFmt numFmtId="169" formatCode="[$$-409]#,##0;[Red][$$-409]#,##0"/>
    </dxf>
    <dxf>
      <numFmt numFmtId="169" formatCode="[$$-409]#,##0;[Red][$$-409]#,##0"/>
    </dxf>
    <dxf>
      <numFmt numFmtId="169" formatCode="[$$-409]#,##0;[Red][$$-409]#,##0"/>
    </dxf>
    <dxf>
      <numFmt numFmtId="14" formatCode="0.00%"/>
    </dxf>
    <dxf>
      <numFmt numFmtId="168" formatCode="[$$-409]#,##0.00;[Red][$$-409]#,##0.00"/>
    </dxf>
    <dxf>
      <numFmt numFmtId="168" formatCode="[$$-409]#,##0.00;[Red][$$-409]#,##0.00"/>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168" formatCode="[$$-409]#,##0.00;[Red][$$-409]#,##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8" formatCode="[$$-409]#,##0.00;[Red][$$-409]#,##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8" formatCode="[$$-409]#,##0.00;[Red][$$-409]#,##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8" formatCode="[$$-409]#,##0.00;[Red][$$-409]#,##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7" formatCode="[$$-409]#,##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7" formatCode="[$$-409]#,##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6" formatCode="dd/mm/yy;@"/>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6" formatCode="dd/mm/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6" formatCode="dd/mm/yy;@"/>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6" formatCode="dd/mm/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s>
  <tableStyles count="0" defaultTableStyle="TableStyleMedium2" defaultPivotStyle="PivotStyleLight16"/>
  <colors>
    <mruColors>
      <color rgb="FFF8F8F8"/>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ivotCacheDefinition" Target="pivotCache/pivotCacheDefinition22.xml"/><Relationship Id="rId39" Type="http://schemas.microsoft.com/office/2007/relationships/slicerCache" Target="slicerCaches/slicerCache4.xml"/><Relationship Id="rId21" Type="http://schemas.openxmlformats.org/officeDocument/2006/relationships/pivotCacheDefinition" Target="pivotCache/pivotCacheDefinition17.xml"/><Relationship Id="rId34" Type="http://schemas.openxmlformats.org/officeDocument/2006/relationships/pivotCacheDefinition" Target="pivotCache/pivotCacheDefinition30.xml"/><Relationship Id="rId42" Type="http://schemas.microsoft.com/office/2007/relationships/slicerCache" Target="slicerCaches/slicerCache7.xml"/><Relationship Id="rId47" Type="http://schemas.openxmlformats.org/officeDocument/2006/relationships/sheetMetadata" Target="metadata.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pivotCacheDefinition" Target="pivotCache/pivotCacheDefinition25.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pivotCacheDefinition" Target="pivotCache/pivotCacheDefinition28.xml"/><Relationship Id="rId37" Type="http://schemas.microsoft.com/office/2007/relationships/slicerCache" Target="slicerCaches/slicerCache2.xml"/><Relationship Id="rId40" Type="http://schemas.microsoft.com/office/2007/relationships/slicerCache" Target="slicerCaches/slicerCache5.xml"/><Relationship Id="rId45"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microsoft.com/office/2007/relationships/slicerCache" Target="slicerCaches/slicerCache1.xml"/><Relationship Id="rId49"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pivotCacheDefinition" Target="pivotCache/pivotCacheDefinition27.xml"/><Relationship Id="rId44"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30" Type="http://schemas.openxmlformats.org/officeDocument/2006/relationships/pivotCacheDefinition" Target="pivotCache/pivotCacheDefinition26.xml"/><Relationship Id="rId35" Type="http://schemas.openxmlformats.org/officeDocument/2006/relationships/pivotCacheDefinition" Target="pivotCache/pivotCacheDefinition31.xml"/><Relationship Id="rId43" Type="http://schemas.openxmlformats.org/officeDocument/2006/relationships/theme" Target="theme/theme1.xml"/><Relationship Id="rId48" Type="http://schemas.openxmlformats.org/officeDocument/2006/relationships/powerPivotData" Target="model/item.data"/><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pivotCacheDefinition" Target="pivotCache/pivotCacheDefinition29.xml"/><Relationship Id="rId38" Type="http://schemas.microsoft.com/office/2007/relationships/slicerCache" Target="slicerCaches/slicerCache3.xml"/><Relationship Id="rId46" Type="http://schemas.openxmlformats.org/officeDocument/2006/relationships/sharedStrings" Target="sharedStrings.xml"/><Relationship Id="rId20" Type="http://schemas.openxmlformats.org/officeDocument/2006/relationships/pivotCacheDefinition" Target="pivotCache/pivotCacheDefinition16.xml"/><Relationship Id="rId41"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and Logistics Analysis Project.xlsx]Analysis!PivotTable8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Analysis!$D$3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Analysis!$B$4:$C$26</c:f>
              <c:multiLvlStrCache>
                <c:ptCount val="15"/>
                <c:lvl>
                  <c:pt idx="0">
                    <c:v>Company D</c:v>
                  </c:pt>
                  <c:pt idx="1">
                    <c:v>Company K</c:v>
                  </c:pt>
                  <c:pt idx="2">
                    <c:v>Company Y</c:v>
                  </c:pt>
                  <c:pt idx="3">
                    <c:v>Company L</c:v>
                  </c:pt>
                  <c:pt idx="4">
                    <c:v>Company Z</c:v>
                  </c:pt>
                  <c:pt idx="5">
                    <c:v>Company A</c:v>
                  </c:pt>
                  <c:pt idx="6">
                    <c:v>Company CC</c:v>
                  </c:pt>
                  <c:pt idx="7">
                    <c:v>Company H</c:v>
                  </c:pt>
                  <c:pt idx="8">
                    <c:v>Company AA</c:v>
                  </c:pt>
                  <c:pt idx="9">
                    <c:v>Company F</c:v>
                  </c:pt>
                  <c:pt idx="10">
                    <c:v>Company BB</c:v>
                  </c:pt>
                  <c:pt idx="11">
                    <c:v>Company G</c:v>
                  </c:pt>
                  <c:pt idx="12">
                    <c:v>Company I</c:v>
                  </c:pt>
                  <c:pt idx="13">
                    <c:v>Company C</c:v>
                  </c:pt>
                  <c:pt idx="14">
                    <c:v>Company J</c:v>
                  </c:pt>
                </c:lvl>
                <c:lvl>
                  <c:pt idx="0">
                    <c:v>Thu</c:v>
                  </c:pt>
                  <c:pt idx="3">
                    <c:v>Fri</c:v>
                  </c:pt>
                  <c:pt idx="5">
                    <c:v>Mon</c:v>
                  </c:pt>
                  <c:pt idx="8">
                    <c:v>Sat</c:v>
                  </c:pt>
                  <c:pt idx="10">
                    <c:v>Sun</c:v>
                  </c:pt>
                  <c:pt idx="12">
                    <c:v>Tue</c:v>
                  </c:pt>
                  <c:pt idx="13">
                    <c:v>Wed</c:v>
                  </c:pt>
                </c:lvl>
              </c:multiLvlStrCache>
            </c:multiLvlStrRef>
          </c:cat>
          <c:val>
            <c:numRef>
              <c:f>Analysis!$D$4:$D$26</c:f>
              <c:numCache>
                <c:formatCode>[$$-409]#,##0.00;[Red][$$-409]#,##0.00</c:formatCode>
                <c:ptCount val="15"/>
                <c:pt idx="0">
                  <c:v>12368.9</c:v>
                </c:pt>
                <c:pt idx="1">
                  <c:v>3458.02</c:v>
                </c:pt>
                <c:pt idx="2">
                  <c:v>2156</c:v>
                </c:pt>
                <c:pt idx="3">
                  <c:v>4552</c:v>
                </c:pt>
                <c:pt idx="4">
                  <c:v>5112.55</c:v>
                </c:pt>
                <c:pt idx="5">
                  <c:v>5655.63</c:v>
                </c:pt>
                <c:pt idx="6">
                  <c:v>979.25</c:v>
                </c:pt>
                <c:pt idx="7">
                  <c:v>8537.9500000000007</c:v>
                </c:pt>
                <c:pt idx="8">
                  <c:v>476</c:v>
                </c:pt>
                <c:pt idx="9">
                  <c:v>10514.5</c:v>
                </c:pt>
                <c:pt idx="10">
                  <c:v>3494.7</c:v>
                </c:pt>
                <c:pt idx="11">
                  <c:v>2944</c:v>
                </c:pt>
                <c:pt idx="12">
                  <c:v>2814.65</c:v>
                </c:pt>
                <c:pt idx="13">
                  <c:v>1914.86</c:v>
                </c:pt>
                <c:pt idx="14">
                  <c:v>5265.07</c:v>
                </c:pt>
              </c:numCache>
            </c:numRef>
          </c:val>
          <c:smooth val="0"/>
          <c:extLst>
            <c:ext xmlns:c16="http://schemas.microsoft.com/office/drawing/2014/chart" uri="{C3380CC4-5D6E-409C-BE32-E72D297353CC}">
              <c16:uniqueId val="{00000000-75DD-4B28-A851-AE3F0394C747}"/>
            </c:ext>
          </c:extLst>
        </c:ser>
        <c:dLbls>
          <c:dLblPos val="t"/>
          <c:showLegendKey val="0"/>
          <c:showVal val="1"/>
          <c:showCatName val="0"/>
          <c:showSerName val="0"/>
          <c:showPercent val="0"/>
          <c:showBubbleSize val="0"/>
        </c:dLbls>
        <c:marker val="1"/>
        <c:smooth val="0"/>
        <c:axId val="656590208"/>
        <c:axId val="656580224"/>
      </c:lineChart>
      <c:catAx>
        <c:axId val="656590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580224"/>
        <c:crosses val="autoZero"/>
        <c:auto val="1"/>
        <c:lblAlgn val="ctr"/>
        <c:lblOffset val="100"/>
        <c:noMultiLvlLbl val="0"/>
      </c:catAx>
      <c:valAx>
        <c:axId val="656580224"/>
        <c:scaling>
          <c:orientation val="minMax"/>
        </c:scaling>
        <c:delete val="1"/>
        <c:axPos val="l"/>
        <c:numFmt formatCode="[$$-409]#,##0.00;[Red][$$-409]#,##0.00" sourceLinked="1"/>
        <c:majorTickMark val="out"/>
        <c:minorTickMark val="none"/>
        <c:tickLblPos val="nextTo"/>
        <c:crossAx val="65659020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65000"/>
      </a:schemeClr>
    </a:solid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and Logistics Analysis Project.xlsx]Analysis!PivotTable27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03226007466933"/>
                  <c:h val="0.11441008018327606"/>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43011536356593"/>
                  <c:h val="0.11441008018327606"/>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82797065246252"/>
                  <c:h val="0.11441008018327606"/>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12904300801421"/>
                  <c:h val="0.11441008018327606"/>
                </c:manualLayout>
              </c15:layout>
            </c:ext>
          </c:extLst>
        </c:dLbl>
      </c:pivotFmt>
    </c:pivotFmts>
    <c:plotArea>
      <c:layout/>
      <c:barChart>
        <c:barDir val="col"/>
        <c:grouping val="clustered"/>
        <c:varyColors val="0"/>
        <c:ser>
          <c:idx val="0"/>
          <c:order val="0"/>
          <c:tx>
            <c:strRef>
              <c:f>Analysis!$G$3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0812-4ED5-804A-8C95EF2C0ECA}"/>
              </c:ext>
            </c:extLst>
          </c:dPt>
          <c:dPt>
            <c:idx val="1"/>
            <c:invertIfNegative val="0"/>
            <c:bubble3D val="0"/>
            <c:extLst>
              <c:ext xmlns:c16="http://schemas.microsoft.com/office/drawing/2014/chart" uri="{C3380CC4-5D6E-409C-BE32-E72D297353CC}">
                <c16:uniqueId val="{00000003-0812-4ED5-804A-8C95EF2C0ECA}"/>
              </c:ext>
            </c:extLst>
          </c:dPt>
          <c:dPt>
            <c:idx val="2"/>
            <c:invertIfNegative val="0"/>
            <c:bubble3D val="0"/>
            <c:extLst>
              <c:ext xmlns:c16="http://schemas.microsoft.com/office/drawing/2014/chart" uri="{C3380CC4-5D6E-409C-BE32-E72D297353CC}">
                <c16:uniqueId val="{00000004-0812-4ED5-804A-8C95EF2C0ECA}"/>
              </c:ext>
            </c:extLst>
          </c:dPt>
          <c:dPt>
            <c:idx val="3"/>
            <c:invertIfNegative val="0"/>
            <c:bubble3D val="0"/>
            <c:extLst>
              <c:ext xmlns:c16="http://schemas.microsoft.com/office/drawing/2014/chart" uri="{C3380CC4-5D6E-409C-BE32-E72D297353CC}">
                <c16:uniqueId val="{00000005-0812-4ED5-804A-8C95EF2C0ECA}"/>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4703226007466933"/>
                      <c:h val="0.11441008018327606"/>
                    </c:manualLayout>
                  </c15:layout>
                </c:ext>
                <c:ext xmlns:c16="http://schemas.microsoft.com/office/drawing/2014/chart" uri="{C3380CC4-5D6E-409C-BE32-E72D297353CC}">
                  <c16:uniqueId val="{00000002-0812-4ED5-804A-8C95EF2C0ECA}"/>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843011536356593"/>
                      <c:h val="0.11441008018327606"/>
                    </c:manualLayout>
                  </c15:layout>
                </c:ext>
                <c:ext xmlns:c16="http://schemas.microsoft.com/office/drawing/2014/chart" uri="{C3380CC4-5D6E-409C-BE32-E72D297353CC}">
                  <c16:uniqueId val="{00000003-0812-4ED5-804A-8C95EF2C0ECA}"/>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982797065246252"/>
                      <c:h val="0.11441008018327606"/>
                    </c:manualLayout>
                  </c15:layout>
                </c:ext>
                <c:ext xmlns:c16="http://schemas.microsoft.com/office/drawing/2014/chart" uri="{C3380CC4-5D6E-409C-BE32-E72D297353CC}">
                  <c16:uniqueId val="{00000004-0812-4ED5-804A-8C95EF2C0ECA}"/>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3412904300801421"/>
                      <c:h val="0.11441008018327606"/>
                    </c:manualLayout>
                  </c15:layout>
                </c:ext>
                <c:ext xmlns:c16="http://schemas.microsoft.com/office/drawing/2014/chart" uri="{C3380CC4-5D6E-409C-BE32-E72D297353CC}">
                  <c16:uniqueId val="{00000005-0812-4ED5-804A-8C95EF2C0E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Analysis!$F$4:$F$8</c:f>
              <c:strCache>
                <c:ptCount val="4"/>
                <c:pt idx="0">
                  <c:v>North</c:v>
                </c:pt>
                <c:pt idx="1">
                  <c:v>East</c:v>
                </c:pt>
                <c:pt idx="2">
                  <c:v>South</c:v>
                </c:pt>
                <c:pt idx="3">
                  <c:v>West</c:v>
                </c:pt>
              </c:strCache>
            </c:strRef>
          </c:cat>
          <c:val>
            <c:numRef>
              <c:f>Analysis!$G$4:$G$8</c:f>
              <c:numCache>
                <c:formatCode>[$$-409]#,##0.00;[Red][$$-409]#,##0.00</c:formatCode>
                <c:ptCount val="4"/>
                <c:pt idx="0">
                  <c:v>27652.080000000002</c:v>
                </c:pt>
                <c:pt idx="1">
                  <c:v>19789.97</c:v>
                </c:pt>
                <c:pt idx="2">
                  <c:v>12065.27</c:v>
                </c:pt>
                <c:pt idx="3">
                  <c:v>10736.76</c:v>
                </c:pt>
              </c:numCache>
            </c:numRef>
          </c:val>
          <c:extLst>
            <c:ext xmlns:c16="http://schemas.microsoft.com/office/drawing/2014/chart" uri="{C3380CC4-5D6E-409C-BE32-E72D297353CC}">
              <c16:uniqueId val="{00000000-0812-4ED5-804A-8C95EF2C0ECA}"/>
            </c:ext>
          </c:extLst>
        </c:ser>
        <c:dLbls>
          <c:dLblPos val="outEnd"/>
          <c:showLegendKey val="0"/>
          <c:showVal val="1"/>
          <c:showCatName val="0"/>
          <c:showSerName val="0"/>
          <c:showPercent val="0"/>
          <c:showBubbleSize val="0"/>
        </c:dLbls>
        <c:gapWidth val="219"/>
        <c:overlap val="-27"/>
        <c:axId val="543055616"/>
        <c:axId val="543049376"/>
      </c:barChart>
      <c:catAx>
        <c:axId val="543055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049376"/>
        <c:crosses val="autoZero"/>
        <c:auto val="1"/>
        <c:lblAlgn val="ctr"/>
        <c:lblOffset val="100"/>
        <c:noMultiLvlLbl val="0"/>
      </c:catAx>
      <c:valAx>
        <c:axId val="543049376"/>
        <c:scaling>
          <c:orientation val="minMax"/>
        </c:scaling>
        <c:delete val="1"/>
        <c:axPos val="l"/>
        <c:numFmt formatCode="[$$-409]#,##0.00;[Red][$$-409]#,##0.00" sourceLinked="1"/>
        <c:majorTickMark val="out"/>
        <c:minorTickMark val="none"/>
        <c:tickLblPos val="nextTo"/>
        <c:crossAx val="54305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65000"/>
      </a:schemeClr>
    </a:solid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and Logistics Analysis Project.xlsx]Analysis!PivotTable5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Ten (5) Products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6000" tIns="36000" rIns="180000" bIns="18000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Analysis!$C$30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6000" tIns="36000" rIns="180000" bIns="18000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Analysis!$B$31:$B$36</c:f>
              <c:strCache>
                <c:ptCount val="5"/>
                <c:pt idx="0">
                  <c:v>Coffee</c:v>
                </c:pt>
                <c:pt idx="1">
                  <c:v>Dried Apples</c:v>
                </c:pt>
                <c:pt idx="2">
                  <c:v>Curry Sauce</c:v>
                </c:pt>
                <c:pt idx="3">
                  <c:v>Dried Pears</c:v>
                </c:pt>
                <c:pt idx="4">
                  <c:v>Chocolate</c:v>
                </c:pt>
              </c:strCache>
            </c:strRef>
          </c:cat>
          <c:val>
            <c:numRef>
              <c:f>Analysis!$C$31:$C$36</c:f>
              <c:numCache>
                <c:formatCode>[$$-409]#,##0;[Red][$$-409]#,##0</c:formatCode>
                <c:ptCount val="5"/>
                <c:pt idx="0">
                  <c:v>12190</c:v>
                </c:pt>
                <c:pt idx="1">
                  <c:v>8162</c:v>
                </c:pt>
                <c:pt idx="2">
                  <c:v>7840</c:v>
                </c:pt>
                <c:pt idx="3">
                  <c:v>4620</c:v>
                </c:pt>
                <c:pt idx="4">
                  <c:v>4309.5</c:v>
                </c:pt>
              </c:numCache>
            </c:numRef>
          </c:val>
          <c:extLst>
            <c:ext xmlns:c16="http://schemas.microsoft.com/office/drawing/2014/chart" uri="{C3380CC4-5D6E-409C-BE32-E72D297353CC}">
              <c16:uniqueId val="{00000000-2FDE-4410-AFB2-998ADA826F00}"/>
            </c:ext>
          </c:extLst>
        </c:ser>
        <c:dLbls>
          <c:dLblPos val="outEnd"/>
          <c:showLegendKey val="0"/>
          <c:showVal val="1"/>
          <c:showCatName val="0"/>
          <c:showSerName val="0"/>
          <c:showPercent val="0"/>
          <c:showBubbleSize val="0"/>
        </c:dLbls>
        <c:gapWidth val="219"/>
        <c:overlap val="-27"/>
        <c:axId val="1223130608"/>
        <c:axId val="1223129776"/>
      </c:barChart>
      <c:catAx>
        <c:axId val="1223130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129776"/>
        <c:crosses val="autoZero"/>
        <c:auto val="1"/>
        <c:lblAlgn val="ctr"/>
        <c:lblOffset val="100"/>
        <c:noMultiLvlLbl val="0"/>
      </c:catAx>
      <c:valAx>
        <c:axId val="1223129776"/>
        <c:scaling>
          <c:orientation val="minMax"/>
        </c:scaling>
        <c:delete val="1"/>
        <c:axPos val="l"/>
        <c:numFmt formatCode="[$$-409]#,##0;[Red][$$-409]#,##0" sourceLinked="1"/>
        <c:majorTickMark val="out"/>
        <c:minorTickMark val="none"/>
        <c:tickLblPos val="nextTo"/>
        <c:crossAx val="122313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38100" cap="flat" cmpd="sng" algn="ctr">
      <a:solidFill>
        <a:schemeClr val="tx1"/>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and Logistics Analysis Project.xlsx]Analysis!PivotTable1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Analysis!$I$4:$I$12</c:f>
              <c:strCache>
                <c:ptCount val="8"/>
                <c:pt idx="0">
                  <c:v>Nancy Freehafer</c:v>
                </c:pt>
                <c:pt idx="1">
                  <c:v>Andrew Cencini</c:v>
                </c:pt>
                <c:pt idx="2">
                  <c:v>Anne Larsen</c:v>
                </c:pt>
                <c:pt idx="3">
                  <c:v>Michael Neipper</c:v>
                </c:pt>
                <c:pt idx="4">
                  <c:v>Laura Giussani</c:v>
                </c:pt>
                <c:pt idx="5">
                  <c:v>Mariya Sergienko</c:v>
                </c:pt>
                <c:pt idx="6">
                  <c:v>Robert Zare</c:v>
                </c:pt>
                <c:pt idx="7">
                  <c:v>Jan Kotas</c:v>
                </c:pt>
              </c:strCache>
            </c:strRef>
          </c:cat>
          <c:val>
            <c:numRef>
              <c:f>Analysis!$J$4:$J$12</c:f>
              <c:numCache>
                <c:formatCode>[$$-409]#,##0.00;[Red][$$-409]#,##0.00</c:formatCode>
                <c:ptCount val="8"/>
                <c:pt idx="0">
                  <c:v>17137.580000000002</c:v>
                </c:pt>
                <c:pt idx="1">
                  <c:v>12368.9</c:v>
                </c:pt>
                <c:pt idx="2">
                  <c:v>12065.27</c:v>
                </c:pt>
                <c:pt idx="3">
                  <c:v>10514.5</c:v>
                </c:pt>
                <c:pt idx="4">
                  <c:v>7421.07</c:v>
                </c:pt>
                <c:pt idx="5">
                  <c:v>6942.86</c:v>
                </c:pt>
                <c:pt idx="6">
                  <c:v>2814.65</c:v>
                </c:pt>
                <c:pt idx="7">
                  <c:v>979.25</c:v>
                </c:pt>
              </c:numCache>
            </c:numRef>
          </c:val>
          <c:extLst>
            <c:ext xmlns:c16="http://schemas.microsoft.com/office/drawing/2014/chart" uri="{C3380CC4-5D6E-409C-BE32-E72D297353CC}">
              <c16:uniqueId val="{00000000-766C-40CF-B9F4-F7C3C7ABE91B}"/>
            </c:ext>
          </c:extLst>
        </c:ser>
        <c:dLbls>
          <c:dLblPos val="outEnd"/>
          <c:showLegendKey val="0"/>
          <c:showVal val="1"/>
          <c:showCatName val="0"/>
          <c:showSerName val="0"/>
          <c:showPercent val="0"/>
          <c:showBubbleSize val="0"/>
        </c:dLbls>
        <c:gapWidth val="182"/>
        <c:axId val="1226984832"/>
        <c:axId val="1226973184"/>
      </c:barChart>
      <c:catAx>
        <c:axId val="1226984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973184"/>
        <c:crosses val="autoZero"/>
        <c:auto val="1"/>
        <c:lblAlgn val="ctr"/>
        <c:lblOffset val="100"/>
        <c:noMultiLvlLbl val="0"/>
      </c:catAx>
      <c:valAx>
        <c:axId val="1226973184"/>
        <c:scaling>
          <c:orientation val="minMax"/>
        </c:scaling>
        <c:delete val="1"/>
        <c:axPos val="l"/>
        <c:numFmt formatCode="[$$-409]#,##0.00;[Red][$$-409]#,##0.00" sourceLinked="1"/>
        <c:majorTickMark val="none"/>
        <c:minorTickMark val="none"/>
        <c:tickLblPos val="nextTo"/>
        <c:crossAx val="1226984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65000"/>
      </a:schemeClr>
    </a:solidFill>
    <a:ln w="9525" cap="flat" cmpd="sng" algn="ctr">
      <a:no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and Logistics Analysis Project.xlsx]Analysis!PivotTable13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Analysis!$L$56</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Analysis!$K$57:$K$60</c:f>
              <c:strCache>
                <c:ptCount val="3"/>
                <c:pt idx="0">
                  <c:v>High_Spender</c:v>
                </c:pt>
                <c:pt idx="1">
                  <c:v>Low_Spender</c:v>
                </c:pt>
                <c:pt idx="2">
                  <c:v>Middle_Spender</c:v>
                </c:pt>
              </c:strCache>
            </c:strRef>
          </c:cat>
          <c:val>
            <c:numRef>
              <c:f>Analysis!$L$57:$L$60</c:f>
              <c:numCache>
                <c:formatCode>[$$-409]#,##0.00;[Red][$$-409]#,##0.00</c:formatCode>
                <c:ptCount val="3"/>
                <c:pt idx="0">
                  <c:v>36499.199999999997</c:v>
                </c:pt>
                <c:pt idx="1">
                  <c:v>13103.38</c:v>
                </c:pt>
                <c:pt idx="2">
                  <c:v>20641.5</c:v>
                </c:pt>
              </c:numCache>
            </c:numRef>
          </c:val>
          <c:extLst>
            <c:ext xmlns:c16="http://schemas.microsoft.com/office/drawing/2014/chart" uri="{C3380CC4-5D6E-409C-BE32-E72D297353CC}">
              <c16:uniqueId val="{00000000-E0F1-4A96-AE25-EEBD310C90BD}"/>
            </c:ext>
          </c:extLst>
        </c:ser>
        <c:ser>
          <c:idx val="1"/>
          <c:order val="1"/>
          <c:tx>
            <c:strRef>
              <c:f>Analysis!$M$56</c:f>
              <c:strCache>
                <c:ptCount val="1"/>
                <c:pt idx="0">
                  <c:v>Count of Customer Name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Analysis!$K$57:$K$60</c:f>
              <c:strCache>
                <c:ptCount val="3"/>
                <c:pt idx="0">
                  <c:v>High_Spender</c:v>
                </c:pt>
                <c:pt idx="1">
                  <c:v>Low_Spender</c:v>
                </c:pt>
                <c:pt idx="2">
                  <c:v>Middle_Spender</c:v>
                </c:pt>
              </c:strCache>
            </c:strRef>
          </c:cat>
          <c:val>
            <c:numRef>
              <c:f>Analysis!$M$57:$M$60</c:f>
              <c:numCache>
                <c:formatCode>General</c:formatCode>
                <c:ptCount val="3"/>
                <c:pt idx="0">
                  <c:v>12</c:v>
                </c:pt>
                <c:pt idx="1">
                  <c:v>38</c:v>
                </c:pt>
                <c:pt idx="2">
                  <c:v>15</c:v>
                </c:pt>
              </c:numCache>
            </c:numRef>
          </c:val>
          <c:extLst>
            <c:ext xmlns:c16="http://schemas.microsoft.com/office/drawing/2014/chart" uri="{C3380CC4-5D6E-409C-BE32-E72D297353CC}">
              <c16:uniqueId val="{00000001-E0F1-4A96-AE25-EEBD310C90BD}"/>
            </c:ext>
          </c:extLst>
        </c:ser>
        <c:dLbls>
          <c:dLblPos val="outEnd"/>
          <c:showLegendKey val="0"/>
          <c:showVal val="1"/>
          <c:showCatName val="0"/>
          <c:showSerName val="0"/>
          <c:showPercent val="0"/>
          <c:showBubbleSize val="0"/>
        </c:dLbls>
        <c:gapWidth val="219"/>
        <c:overlap val="-27"/>
        <c:axId val="1300729840"/>
        <c:axId val="1300730256"/>
      </c:barChart>
      <c:catAx>
        <c:axId val="130072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730256"/>
        <c:crosses val="autoZero"/>
        <c:auto val="1"/>
        <c:lblAlgn val="ctr"/>
        <c:lblOffset val="100"/>
        <c:noMultiLvlLbl val="0"/>
      </c:catAx>
      <c:valAx>
        <c:axId val="1300730256"/>
        <c:scaling>
          <c:orientation val="minMax"/>
        </c:scaling>
        <c:delete val="1"/>
        <c:axPos val="l"/>
        <c:majorGridlines>
          <c:spPr>
            <a:ln w="9525" cap="flat" cmpd="sng" algn="ctr">
              <a:solidFill>
                <a:schemeClr val="tx1">
                  <a:lumMod val="15000"/>
                  <a:lumOff val="85000"/>
                </a:schemeClr>
              </a:solidFill>
              <a:round/>
            </a:ln>
            <a:effectLst/>
          </c:spPr>
        </c:majorGridlines>
        <c:numFmt formatCode="[$$-409]#,##0.00;[Red][$$-409]#,##0.00" sourceLinked="1"/>
        <c:majorTickMark val="none"/>
        <c:minorTickMark val="none"/>
        <c:tickLblPos val="nextTo"/>
        <c:crossAx val="130072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and Logistics Analysis Project.xlsx]Analysis!PivotTable6</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s>
    <c:plotArea>
      <c:layout/>
      <c:barChart>
        <c:barDir val="col"/>
        <c:grouping val="clustered"/>
        <c:varyColors val="0"/>
        <c:ser>
          <c:idx val="0"/>
          <c:order val="0"/>
          <c:tx>
            <c:strRef>
              <c:f>Analysis!$F$30</c:f>
              <c:strCache>
                <c:ptCount val="1"/>
                <c:pt idx="0">
                  <c:v>Total</c:v>
                </c:pt>
              </c:strCache>
            </c:strRef>
          </c:tx>
          <c:spPr>
            <a:solidFill>
              <a:schemeClr val="accent1"/>
            </a:solidFill>
            <a:ln>
              <a:noFill/>
            </a:ln>
            <a:effectLst/>
          </c:spPr>
          <c:invertIfNegative val="0"/>
          <c:dPt>
            <c:idx val="6"/>
            <c:invertIfNegative val="0"/>
            <c:bubble3D val="0"/>
            <c:spPr>
              <a:solidFill>
                <a:schemeClr val="accent1"/>
              </a:solidFill>
              <a:ln>
                <a:noFill/>
              </a:ln>
              <a:effectLst/>
            </c:spPr>
            <c:extLst>
              <c:ext xmlns:c16="http://schemas.microsoft.com/office/drawing/2014/chart" uri="{C3380CC4-5D6E-409C-BE32-E72D297353CC}">
                <c16:uniqueId val="{00000001-7D54-405D-8B3D-C63122076C91}"/>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Analysis!$E$31:$E$41</c:f>
              <c:strCache>
                <c:ptCount val="10"/>
                <c:pt idx="0">
                  <c:v>Beverages</c:v>
                </c:pt>
                <c:pt idx="1">
                  <c:v>Dried Fruit &amp; Nuts</c:v>
                </c:pt>
                <c:pt idx="2">
                  <c:v>Sauces</c:v>
                </c:pt>
                <c:pt idx="3">
                  <c:v>Jams, Preserves</c:v>
                </c:pt>
                <c:pt idx="4">
                  <c:v>Pasta</c:v>
                </c:pt>
                <c:pt idx="5">
                  <c:v>Candy</c:v>
                </c:pt>
                <c:pt idx="6">
                  <c:v>Dairy Products</c:v>
                </c:pt>
                <c:pt idx="7">
                  <c:v>Baked Goods &amp; Mixes</c:v>
                </c:pt>
                <c:pt idx="8">
                  <c:v>Condiments</c:v>
                </c:pt>
                <c:pt idx="9">
                  <c:v>Canned Meat</c:v>
                </c:pt>
              </c:strCache>
            </c:strRef>
          </c:cat>
          <c:val>
            <c:numRef>
              <c:f>Analysis!$F$31:$F$41</c:f>
              <c:numCache>
                <c:formatCode>[$$-409]#,##0;[Red][$$-409]#,##0</c:formatCode>
                <c:ptCount val="10"/>
                <c:pt idx="0">
                  <c:v>17452.43</c:v>
                </c:pt>
                <c:pt idx="1">
                  <c:v>14240</c:v>
                </c:pt>
                <c:pt idx="2">
                  <c:v>7840</c:v>
                </c:pt>
                <c:pt idx="3">
                  <c:v>5027</c:v>
                </c:pt>
                <c:pt idx="4">
                  <c:v>4469.5</c:v>
                </c:pt>
                <c:pt idx="5">
                  <c:v>4309.5</c:v>
                </c:pt>
                <c:pt idx="6">
                  <c:v>3549.6</c:v>
                </c:pt>
                <c:pt idx="7">
                  <c:v>3124.4</c:v>
                </c:pt>
                <c:pt idx="8">
                  <c:v>3030</c:v>
                </c:pt>
                <c:pt idx="9">
                  <c:v>2962.4</c:v>
                </c:pt>
              </c:numCache>
            </c:numRef>
          </c:val>
          <c:extLst>
            <c:ext xmlns:c16="http://schemas.microsoft.com/office/drawing/2014/chart" uri="{C3380CC4-5D6E-409C-BE32-E72D297353CC}">
              <c16:uniqueId val="{00000002-7D54-405D-8B3D-C63122076C91}"/>
            </c:ext>
          </c:extLst>
        </c:ser>
        <c:dLbls>
          <c:dLblPos val="outEnd"/>
          <c:showLegendKey val="0"/>
          <c:showVal val="1"/>
          <c:showCatName val="0"/>
          <c:showSerName val="0"/>
          <c:showPercent val="0"/>
          <c:showBubbleSize val="0"/>
        </c:dLbls>
        <c:gapWidth val="444"/>
        <c:overlap val="-90"/>
        <c:axId val="1300749808"/>
        <c:axId val="1300752304"/>
      </c:barChart>
      <c:catAx>
        <c:axId val="1300749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00752304"/>
        <c:crosses val="autoZero"/>
        <c:auto val="1"/>
        <c:lblAlgn val="ctr"/>
        <c:lblOffset val="100"/>
        <c:noMultiLvlLbl val="0"/>
      </c:catAx>
      <c:valAx>
        <c:axId val="1300752304"/>
        <c:scaling>
          <c:orientation val="minMax"/>
        </c:scaling>
        <c:delete val="1"/>
        <c:axPos val="l"/>
        <c:numFmt formatCode="[$$-409]#,##0;[Red][$$-409]#,##0" sourceLinked="1"/>
        <c:majorTickMark val="out"/>
        <c:minorTickMark val="none"/>
        <c:tickLblPos val="nextTo"/>
        <c:crossAx val="1300749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and Logistics Analysis Project.xlsx]Analysis!PivotTable12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Analysis!$H$31:$H$41</c:f>
              <c:strCache>
                <c:ptCount val="10"/>
                <c:pt idx="0">
                  <c:v>Dried Pears</c:v>
                </c:pt>
                <c:pt idx="1">
                  <c:v>Coffee</c:v>
                </c:pt>
                <c:pt idx="2">
                  <c:v>Dried Plums</c:v>
                </c:pt>
                <c:pt idx="3">
                  <c:v>Chocolate</c:v>
                </c:pt>
                <c:pt idx="4">
                  <c:v>Clam Chowder</c:v>
                </c:pt>
                <c:pt idx="5">
                  <c:v>Chocolate Biscuits Mix</c:v>
                </c:pt>
                <c:pt idx="6">
                  <c:v>Curry Sauce</c:v>
                </c:pt>
                <c:pt idx="7">
                  <c:v>Crab Meat</c:v>
                </c:pt>
                <c:pt idx="8">
                  <c:v>Green Tea</c:v>
                </c:pt>
                <c:pt idx="9">
                  <c:v>Chai</c:v>
                </c:pt>
              </c:strCache>
            </c:strRef>
          </c:cat>
          <c:val>
            <c:numRef>
              <c:f>Analysis!$I$31:$I$41</c:f>
              <c:numCache>
                <c:formatCode>General</c:formatCode>
                <c:ptCount val="10"/>
                <c:pt idx="0">
                  <c:v>757</c:v>
                </c:pt>
                <c:pt idx="1">
                  <c:v>318</c:v>
                </c:pt>
                <c:pt idx="2">
                  <c:v>298</c:v>
                </c:pt>
                <c:pt idx="3">
                  <c:v>267</c:v>
                </c:pt>
                <c:pt idx="4">
                  <c:v>233</c:v>
                </c:pt>
                <c:pt idx="5">
                  <c:v>232</c:v>
                </c:pt>
                <c:pt idx="6">
                  <c:v>217</c:v>
                </c:pt>
                <c:pt idx="7">
                  <c:v>212</c:v>
                </c:pt>
                <c:pt idx="8">
                  <c:v>170</c:v>
                </c:pt>
                <c:pt idx="9">
                  <c:v>161</c:v>
                </c:pt>
              </c:numCache>
            </c:numRef>
          </c:val>
          <c:extLst>
            <c:ext xmlns:c16="http://schemas.microsoft.com/office/drawing/2014/chart" uri="{C3380CC4-5D6E-409C-BE32-E72D297353CC}">
              <c16:uniqueId val="{00000000-D84A-42E6-AA35-7E82C86CECD6}"/>
            </c:ext>
          </c:extLst>
        </c:ser>
        <c:dLbls>
          <c:dLblPos val="outEnd"/>
          <c:showLegendKey val="0"/>
          <c:showVal val="1"/>
          <c:showCatName val="0"/>
          <c:showSerName val="0"/>
          <c:showPercent val="0"/>
          <c:showBubbleSize val="0"/>
        </c:dLbls>
        <c:gapWidth val="219"/>
        <c:overlap val="-27"/>
        <c:axId val="1300747312"/>
        <c:axId val="1300753136"/>
      </c:barChart>
      <c:catAx>
        <c:axId val="130074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753136"/>
        <c:crosses val="autoZero"/>
        <c:auto val="1"/>
        <c:lblAlgn val="ctr"/>
        <c:lblOffset val="100"/>
        <c:noMultiLvlLbl val="0"/>
      </c:catAx>
      <c:valAx>
        <c:axId val="1300753136"/>
        <c:scaling>
          <c:orientation val="minMax"/>
        </c:scaling>
        <c:delete val="1"/>
        <c:axPos val="l"/>
        <c:numFmt formatCode="General" sourceLinked="1"/>
        <c:majorTickMark val="none"/>
        <c:minorTickMark val="none"/>
        <c:tickLblPos val="nextTo"/>
        <c:crossAx val="130074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and Logistics Analysis Project.xlsx]Analysis!PivotTable3</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 Ten Customer </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Analysis!$C$48:$C$63</c:f>
              <c:strCache>
                <c:ptCount val="15"/>
                <c:pt idx="0">
                  <c:v>Company AA</c:v>
                </c:pt>
                <c:pt idx="1">
                  <c:v>Company CC</c:v>
                </c:pt>
                <c:pt idx="2">
                  <c:v>Company C</c:v>
                </c:pt>
                <c:pt idx="3">
                  <c:v>Company Y</c:v>
                </c:pt>
                <c:pt idx="4">
                  <c:v>Company I</c:v>
                </c:pt>
                <c:pt idx="5">
                  <c:v>Company G</c:v>
                </c:pt>
                <c:pt idx="6">
                  <c:v>Company K</c:v>
                </c:pt>
                <c:pt idx="7">
                  <c:v>Company BB</c:v>
                </c:pt>
                <c:pt idx="8">
                  <c:v>Company L</c:v>
                </c:pt>
                <c:pt idx="9">
                  <c:v>Company Z</c:v>
                </c:pt>
                <c:pt idx="10">
                  <c:v>Company J</c:v>
                </c:pt>
                <c:pt idx="11">
                  <c:v>Company A</c:v>
                </c:pt>
                <c:pt idx="12">
                  <c:v>Company H</c:v>
                </c:pt>
                <c:pt idx="13">
                  <c:v>Company F</c:v>
                </c:pt>
                <c:pt idx="14">
                  <c:v>Company D</c:v>
                </c:pt>
              </c:strCache>
            </c:strRef>
          </c:cat>
          <c:val>
            <c:numRef>
              <c:f>Analysis!$D$48:$D$63</c:f>
              <c:numCache>
                <c:formatCode>[$$-409]#,##0.00;[Red][$$-409]#,##0.00</c:formatCode>
                <c:ptCount val="15"/>
                <c:pt idx="0">
                  <c:v>476</c:v>
                </c:pt>
                <c:pt idx="1">
                  <c:v>979.25</c:v>
                </c:pt>
                <c:pt idx="2">
                  <c:v>1914.86</c:v>
                </c:pt>
                <c:pt idx="3">
                  <c:v>2156</c:v>
                </c:pt>
                <c:pt idx="4">
                  <c:v>2814.65</c:v>
                </c:pt>
                <c:pt idx="5">
                  <c:v>2944</c:v>
                </c:pt>
                <c:pt idx="6">
                  <c:v>3458.02</c:v>
                </c:pt>
                <c:pt idx="7">
                  <c:v>3494.7</c:v>
                </c:pt>
                <c:pt idx="8">
                  <c:v>4552</c:v>
                </c:pt>
                <c:pt idx="9">
                  <c:v>5112.55</c:v>
                </c:pt>
                <c:pt idx="10">
                  <c:v>5265.07</c:v>
                </c:pt>
                <c:pt idx="11">
                  <c:v>5655.63</c:v>
                </c:pt>
                <c:pt idx="12">
                  <c:v>8537.9500000000007</c:v>
                </c:pt>
                <c:pt idx="13">
                  <c:v>10514.5</c:v>
                </c:pt>
                <c:pt idx="14">
                  <c:v>12368.9</c:v>
                </c:pt>
              </c:numCache>
            </c:numRef>
          </c:val>
          <c:extLst>
            <c:ext xmlns:c16="http://schemas.microsoft.com/office/drawing/2014/chart" uri="{C3380CC4-5D6E-409C-BE32-E72D297353CC}">
              <c16:uniqueId val="{00000000-860B-4209-8232-6E1809FE0F9F}"/>
            </c:ext>
          </c:extLst>
        </c:ser>
        <c:dLbls>
          <c:dLblPos val="outEnd"/>
          <c:showLegendKey val="0"/>
          <c:showVal val="1"/>
          <c:showCatName val="0"/>
          <c:showSerName val="0"/>
          <c:showPercent val="0"/>
          <c:showBubbleSize val="0"/>
        </c:dLbls>
        <c:gapWidth val="182"/>
        <c:axId val="1296769328"/>
        <c:axId val="1296776400"/>
      </c:barChart>
      <c:catAx>
        <c:axId val="1296769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96776400"/>
        <c:crosses val="autoZero"/>
        <c:auto val="1"/>
        <c:lblAlgn val="ctr"/>
        <c:lblOffset val="100"/>
        <c:noMultiLvlLbl val="0"/>
      </c:catAx>
      <c:valAx>
        <c:axId val="1296776400"/>
        <c:scaling>
          <c:orientation val="minMax"/>
        </c:scaling>
        <c:delete val="1"/>
        <c:axPos val="b"/>
        <c:numFmt formatCode="[$$-409]#,##0.00;[Red][$$-409]#,##0.00" sourceLinked="1"/>
        <c:majorTickMark val="none"/>
        <c:minorTickMark val="none"/>
        <c:tickLblPos val="nextTo"/>
        <c:crossAx val="1296769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and Logistics Analysis Project.xlsx]Analysis!PivotTable18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Analysis!$F$48:$G$78</c:f>
              <c:multiLvlStrCache>
                <c:ptCount val="15"/>
                <c:lvl>
                  <c:pt idx="0">
                    <c:v>WA</c:v>
                  </c:pt>
                  <c:pt idx="1">
                    <c:v>NV</c:v>
                  </c:pt>
                  <c:pt idx="2">
                    <c:v>TN</c:v>
                  </c:pt>
                  <c:pt idx="3">
                    <c:v>CA</c:v>
                  </c:pt>
                  <c:pt idx="4">
                    <c:v>CO</c:v>
                  </c:pt>
                  <c:pt idx="5">
                    <c:v>NY</c:v>
                  </c:pt>
                  <c:pt idx="6">
                    <c:v>WI</c:v>
                  </c:pt>
                  <c:pt idx="7">
                    <c:v>ID</c:v>
                  </c:pt>
                  <c:pt idx="8">
                    <c:v>OR</c:v>
                  </c:pt>
                  <c:pt idx="9">
                    <c:v>UT</c:v>
                  </c:pt>
                  <c:pt idx="10">
                    <c:v>IL</c:v>
                  </c:pt>
                  <c:pt idx="11">
                    <c:v>FL</c:v>
                  </c:pt>
                  <c:pt idx="12">
                    <c:v>NV</c:v>
                  </c:pt>
                  <c:pt idx="13">
                    <c:v>IL</c:v>
                  </c:pt>
                  <c:pt idx="14">
                    <c:v>FL</c:v>
                  </c:pt>
                </c:lvl>
                <c:lvl>
                  <c:pt idx="0">
                    <c:v>Company A</c:v>
                  </c:pt>
                  <c:pt idx="1">
                    <c:v>Company AA</c:v>
                  </c:pt>
                  <c:pt idx="2">
                    <c:v>Company BB</c:v>
                  </c:pt>
                  <c:pt idx="3">
                    <c:v>Company C</c:v>
                  </c:pt>
                  <c:pt idx="4">
                    <c:v>Company CC</c:v>
                  </c:pt>
                  <c:pt idx="5">
                    <c:v>Company D</c:v>
                  </c:pt>
                  <c:pt idx="6">
                    <c:v>Company F</c:v>
                  </c:pt>
                  <c:pt idx="7">
                    <c:v>Company G</c:v>
                  </c:pt>
                  <c:pt idx="8">
                    <c:v>Company H</c:v>
                  </c:pt>
                  <c:pt idx="9">
                    <c:v>Company I</c:v>
                  </c:pt>
                  <c:pt idx="10">
                    <c:v>Company J</c:v>
                  </c:pt>
                  <c:pt idx="11">
                    <c:v>Company K</c:v>
                  </c:pt>
                  <c:pt idx="12">
                    <c:v>Company L</c:v>
                  </c:pt>
                  <c:pt idx="13">
                    <c:v>Company Y</c:v>
                  </c:pt>
                  <c:pt idx="14">
                    <c:v>Company Z</c:v>
                  </c:pt>
                </c:lvl>
              </c:multiLvlStrCache>
            </c:multiLvlStrRef>
          </c:cat>
          <c:val>
            <c:numRef>
              <c:f>Analysis!$H$48:$H$78</c:f>
              <c:numCache>
                <c:formatCode>[$$-409]#,##0;[Red][$$-409]#,##0</c:formatCode>
                <c:ptCount val="15"/>
                <c:pt idx="0">
                  <c:v>5655.63</c:v>
                </c:pt>
                <c:pt idx="1">
                  <c:v>476</c:v>
                </c:pt>
                <c:pt idx="2">
                  <c:v>3494.7</c:v>
                </c:pt>
                <c:pt idx="3">
                  <c:v>1914.86</c:v>
                </c:pt>
                <c:pt idx="4">
                  <c:v>979.25</c:v>
                </c:pt>
                <c:pt idx="5">
                  <c:v>12368.9</c:v>
                </c:pt>
                <c:pt idx="6">
                  <c:v>10514.5</c:v>
                </c:pt>
                <c:pt idx="7">
                  <c:v>2944</c:v>
                </c:pt>
                <c:pt idx="8">
                  <c:v>8537.9500000000007</c:v>
                </c:pt>
                <c:pt idx="9">
                  <c:v>2814.65</c:v>
                </c:pt>
                <c:pt idx="10">
                  <c:v>5265.07</c:v>
                </c:pt>
                <c:pt idx="11">
                  <c:v>3458.02</c:v>
                </c:pt>
                <c:pt idx="12">
                  <c:v>4552</c:v>
                </c:pt>
                <c:pt idx="13">
                  <c:v>2156</c:v>
                </c:pt>
                <c:pt idx="14">
                  <c:v>5112.55</c:v>
                </c:pt>
              </c:numCache>
            </c:numRef>
          </c:val>
          <c:extLst>
            <c:ext xmlns:c16="http://schemas.microsoft.com/office/drawing/2014/chart" uri="{C3380CC4-5D6E-409C-BE32-E72D297353CC}">
              <c16:uniqueId val="{00000000-F612-4162-913E-A81442FA8ECA}"/>
            </c:ext>
          </c:extLst>
        </c:ser>
        <c:dLbls>
          <c:dLblPos val="outEnd"/>
          <c:showLegendKey val="0"/>
          <c:showVal val="1"/>
          <c:showCatName val="0"/>
          <c:showSerName val="0"/>
          <c:showPercent val="0"/>
          <c:showBubbleSize val="0"/>
        </c:dLbls>
        <c:gapWidth val="219"/>
        <c:overlap val="-27"/>
        <c:axId val="1296789296"/>
        <c:axId val="1296794288"/>
      </c:barChart>
      <c:catAx>
        <c:axId val="129678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794288"/>
        <c:crosses val="autoZero"/>
        <c:auto val="1"/>
        <c:lblAlgn val="ctr"/>
        <c:lblOffset val="100"/>
        <c:noMultiLvlLbl val="0"/>
      </c:catAx>
      <c:valAx>
        <c:axId val="1296794288"/>
        <c:scaling>
          <c:orientation val="minMax"/>
        </c:scaling>
        <c:delete val="1"/>
        <c:axPos val="l"/>
        <c:numFmt formatCode="[$$-409]#,##0;[Red][$$-409]#,##0" sourceLinked="1"/>
        <c:majorTickMark val="none"/>
        <c:minorTickMark val="none"/>
        <c:tickLblPos val="nextTo"/>
        <c:crossAx val="129678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and Logistics Analysis Project.xlsx]Analysis!PivotTable22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Shipping Delivery Trend</a:t>
            </a:r>
          </a:p>
        </c:rich>
      </c:tx>
      <c:layout>
        <c:manualLayout>
          <c:xMode val="edge"/>
          <c:yMode val="edge"/>
          <c:x val="0.27781671657240026"/>
          <c:y val="3.12989045383411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Analysis!$J$111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Analysis!$H$112:$I$132</c:f>
              <c:multiLvlStrCache>
                <c:ptCount val="16"/>
                <c:lvl>
                  <c:pt idx="0">
                    <c:v>Mon</c:v>
                  </c:pt>
                  <c:pt idx="1">
                    <c:v>Sun</c:v>
                  </c:pt>
                  <c:pt idx="2">
                    <c:v>Thu</c:v>
                  </c:pt>
                  <c:pt idx="3">
                    <c:v>Wed</c:v>
                  </c:pt>
                  <c:pt idx="4">
                    <c:v>Thu</c:v>
                  </c:pt>
                  <c:pt idx="5">
                    <c:v>Tue</c:v>
                  </c:pt>
                  <c:pt idx="6">
                    <c:v>Wed</c:v>
                  </c:pt>
                  <c:pt idx="7">
                    <c:v>Fri</c:v>
                  </c:pt>
                  <c:pt idx="8">
                    <c:v>Mon</c:v>
                  </c:pt>
                  <c:pt idx="9">
                    <c:v>Sat</c:v>
                  </c:pt>
                  <c:pt idx="10">
                    <c:v>Wed</c:v>
                  </c:pt>
                  <c:pt idx="11">
                    <c:v>Fri</c:v>
                  </c:pt>
                  <c:pt idx="12">
                    <c:v>Mon</c:v>
                  </c:pt>
                  <c:pt idx="13">
                    <c:v>Sat</c:v>
                  </c:pt>
                  <c:pt idx="14">
                    <c:v>Sun</c:v>
                  </c:pt>
                  <c:pt idx="15">
                    <c:v>Thu</c:v>
                  </c:pt>
                </c:lvl>
                <c:lvl>
                  <c:pt idx="0">
                    <c:v>Unavailable</c:v>
                  </c:pt>
                  <c:pt idx="4">
                    <c:v>Shipping Company A</c:v>
                  </c:pt>
                  <c:pt idx="7">
                    <c:v>Shipping Company B</c:v>
                  </c:pt>
                  <c:pt idx="11">
                    <c:v>Shipping Company C</c:v>
                  </c:pt>
                </c:lvl>
              </c:multiLvlStrCache>
            </c:multiLvlStrRef>
          </c:cat>
          <c:val>
            <c:numRef>
              <c:f>Analysis!$J$112:$J$132</c:f>
              <c:numCache>
                <c:formatCode>General</c:formatCode>
                <c:ptCount val="16"/>
                <c:pt idx="0">
                  <c:v>3</c:v>
                </c:pt>
                <c:pt idx="1">
                  <c:v>2</c:v>
                </c:pt>
                <c:pt idx="2">
                  <c:v>1</c:v>
                </c:pt>
                <c:pt idx="3">
                  <c:v>1</c:v>
                </c:pt>
                <c:pt idx="4">
                  <c:v>7</c:v>
                </c:pt>
                <c:pt idx="5">
                  <c:v>3</c:v>
                </c:pt>
                <c:pt idx="6">
                  <c:v>4</c:v>
                </c:pt>
                <c:pt idx="7">
                  <c:v>3</c:v>
                </c:pt>
                <c:pt idx="8">
                  <c:v>7</c:v>
                </c:pt>
                <c:pt idx="9">
                  <c:v>7</c:v>
                </c:pt>
                <c:pt idx="10">
                  <c:v>5</c:v>
                </c:pt>
                <c:pt idx="11">
                  <c:v>4</c:v>
                </c:pt>
                <c:pt idx="12">
                  <c:v>5</c:v>
                </c:pt>
                <c:pt idx="13">
                  <c:v>3</c:v>
                </c:pt>
                <c:pt idx="14">
                  <c:v>5</c:v>
                </c:pt>
                <c:pt idx="15">
                  <c:v>5</c:v>
                </c:pt>
              </c:numCache>
            </c:numRef>
          </c:val>
          <c:smooth val="0"/>
          <c:extLst>
            <c:ext xmlns:c16="http://schemas.microsoft.com/office/drawing/2014/chart" uri="{C3380CC4-5D6E-409C-BE32-E72D297353CC}">
              <c16:uniqueId val="{00000000-8E61-4AFA-B6FB-27B651C7605E}"/>
            </c:ext>
          </c:extLst>
        </c:ser>
        <c:dLbls>
          <c:dLblPos val="t"/>
          <c:showLegendKey val="0"/>
          <c:showVal val="1"/>
          <c:showCatName val="0"/>
          <c:showSerName val="0"/>
          <c:showPercent val="0"/>
          <c:showBubbleSize val="0"/>
        </c:dLbls>
        <c:smooth val="0"/>
        <c:axId val="1296787216"/>
        <c:axId val="1296785552"/>
      </c:lineChart>
      <c:catAx>
        <c:axId val="1296787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785552"/>
        <c:crosses val="autoZero"/>
        <c:auto val="1"/>
        <c:lblAlgn val="ctr"/>
        <c:lblOffset val="100"/>
        <c:noMultiLvlLbl val="0"/>
      </c:catAx>
      <c:valAx>
        <c:axId val="1296785552"/>
        <c:scaling>
          <c:orientation val="minMax"/>
        </c:scaling>
        <c:delete val="1"/>
        <c:axPos val="l"/>
        <c:numFmt formatCode="General" sourceLinked="1"/>
        <c:majorTickMark val="none"/>
        <c:minorTickMark val="none"/>
        <c:tickLblPos val="nextTo"/>
        <c:crossAx val="1296787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noFill/>
      <a:round/>
    </a:ln>
    <a:effectLst>
      <a:outerShdw blurRad="50800" dist="38100" dir="2700000" algn="tl" rotWithShape="0">
        <a:prstClr val="black">
          <a:alpha val="40000"/>
        </a:prstClr>
      </a:outerShdw>
    </a:effectLst>
    <a:scene3d>
      <a:camera prst="orthographicFront"/>
      <a:lightRig rig="threePt" dir="t"/>
    </a:scene3d>
    <a:sp3d prstMaterial="metal">
      <a:bevelT w="38100" h="57150"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and Logistics Analysis Project.xlsx]Analysis!PivotTable16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Order by Shipper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Analysis!$C$110</c:f>
              <c:strCache>
                <c:ptCount val="1"/>
                <c:pt idx="0">
                  <c:v>Count of Order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Analysis!$B$111:$B$115</c:f>
              <c:strCache>
                <c:ptCount val="4"/>
                <c:pt idx="0">
                  <c:v>Unavailable</c:v>
                </c:pt>
                <c:pt idx="1">
                  <c:v>Shipping Company A</c:v>
                </c:pt>
                <c:pt idx="2">
                  <c:v>Shipping Company B</c:v>
                </c:pt>
                <c:pt idx="3">
                  <c:v>Shipping Company C</c:v>
                </c:pt>
              </c:strCache>
            </c:strRef>
          </c:cat>
          <c:val>
            <c:numRef>
              <c:f>Analysis!$C$111:$C$115</c:f>
              <c:numCache>
                <c:formatCode>General</c:formatCode>
                <c:ptCount val="4"/>
                <c:pt idx="0">
                  <c:v>7</c:v>
                </c:pt>
                <c:pt idx="1">
                  <c:v>14</c:v>
                </c:pt>
                <c:pt idx="2">
                  <c:v>22</c:v>
                </c:pt>
                <c:pt idx="3">
                  <c:v>22</c:v>
                </c:pt>
              </c:numCache>
            </c:numRef>
          </c:val>
          <c:extLst>
            <c:ext xmlns:c16="http://schemas.microsoft.com/office/drawing/2014/chart" uri="{C3380CC4-5D6E-409C-BE32-E72D297353CC}">
              <c16:uniqueId val="{00000000-9D9E-4EF2-8CFB-233FC2456B66}"/>
            </c:ext>
          </c:extLst>
        </c:ser>
        <c:ser>
          <c:idx val="1"/>
          <c:order val="1"/>
          <c:tx>
            <c:strRef>
              <c:f>Analysis!$D$110</c:f>
              <c:strCache>
                <c:ptCount val="1"/>
                <c:pt idx="0">
                  <c:v>Sum of Shipping Fee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Analysis!$B$111:$B$115</c:f>
              <c:strCache>
                <c:ptCount val="4"/>
                <c:pt idx="0">
                  <c:v>Unavailable</c:v>
                </c:pt>
                <c:pt idx="1">
                  <c:v>Shipping Company A</c:v>
                </c:pt>
                <c:pt idx="2">
                  <c:v>Shipping Company B</c:v>
                </c:pt>
                <c:pt idx="3">
                  <c:v>Shipping Company C</c:v>
                </c:pt>
              </c:strCache>
            </c:strRef>
          </c:cat>
          <c:val>
            <c:numRef>
              <c:f>Analysis!$D$111:$D$115</c:f>
              <c:numCache>
                <c:formatCode>General</c:formatCode>
                <c:ptCount val="4"/>
                <c:pt idx="0">
                  <c:v>1020.82883</c:v>
                </c:pt>
                <c:pt idx="1">
                  <c:v>1803.3017500000001</c:v>
                </c:pt>
                <c:pt idx="2">
                  <c:v>2044.2782999999999</c:v>
                </c:pt>
                <c:pt idx="3">
                  <c:v>2710.4366</c:v>
                </c:pt>
              </c:numCache>
            </c:numRef>
          </c:val>
          <c:extLst>
            <c:ext xmlns:c16="http://schemas.microsoft.com/office/drawing/2014/chart" uri="{C3380CC4-5D6E-409C-BE32-E72D297353CC}">
              <c16:uniqueId val="{00000001-9D9E-4EF2-8CFB-233FC2456B66}"/>
            </c:ext>
          </c:extLst>
        </c:ser>
        <c:dLbls>
          <c:dLblPos val="outEnd"/>
          <c:showLegendKey val="0"/>
          <c:showVal val="1"/>
          <c:showCatName val="0"/>
          <c:showSerName val="0"/>
          <c:showPercent val="0"/>
          <c:showBubbleSize val="0"/>
        </c:dLbls>
        <c:gapWidth val="182"/>
        <c:axId val="1300719024"/>
        <c:axId val="1300734000"/>
      </c:barChart>
      <c:catAx>
        <c:axId val="1300719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734000"/>
        <c:crosses val="autoZero"/>
        <c:auto val="1"/>
        <c:lblAlgn val="ctr"/>
        <c:lblOffset val="100"/>
        <c:noMultiLvlLbl val="0"/>
      </c:catAx>
      <c:valAx>
        <c:axId val="1300734000"/>
        <c:scaling>
          <c:orientation val="minMax"/>
        </c:scaling>
        <c:delete val="1"/>
        <c:axPos val="b"/>
        <c:numFmt formatCode="General" sourceLinked="1"/>
        <c:majorTickMark val="none"/>
        <c:minorTickMark val="none"/>
        <c:tickLblPos val="nextTo"/>
        <c:crossAx val="130071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65000"/>
      </a:schemeClr>
    </a:solidFill>
    <a:ln w="9525" cap="flat" cmpd="sng" algn="ctr">
      <a:no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and Logistics Analysis Project.xlsx]Analysis!PivotTable28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Mode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Analysis!$C$147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49-448C-A096-5FAE384EE1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49-448C-A096-5FAE384EE1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49-448C-A096-5FAE384EE1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Analysis!$B$148:$B$151</c:f>
              <c:strCache>
                <c:ptCount val="3"/>
                <c:pt idx="0">
                  <c:v>Cash</c:v>
                </c:pt>
                <c:pt idx="1">
                  <c:v>Check</c:v>
                </c:pt>
                <c:pt idx="2">
                  <c:v>Credit Card</c:v>
                </c:pt>
              </c:strCache>
            </c:strRef>
          </c:cat>
          <c:val>
            <c:numRef>
              <c:f>Analysis!$C$148:$C$151</c:f>
              <c:numCache>
                <c:formatCode>0.00%</c:formatCode>
                <c:ptCount val="3"/>
                <c:pt idx="0">
                  <c:v>7.6923076923076927E-2</c:v>
                </c:pt>
                <c:pt idx="1">
                  <c:v>0.33846153846153848</c:v>
                </c:pt>
                <c:pt idx="2">
                  <c:v>0.58461538461538465</c:v>
                </c:pt>
              </c:numCache>
            </c:numRef>
          </c:val>
          <c:extLst>
            <c:ext xmlns:c16="http://schemas.microsoft.com/office/drawing/2014/chart" uri="{C3380CC4-5D6E-409C-BE32-E72D297353CC}">
              <c16:uniqueId val="{00000006-8349-448C-A096-5FAE384EE1D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65000"/>
      </a:schemeClr>
    </a:solidFill>
    <a:ln w="9525" cap="flat" cmpd="sng" algn="ctr">
      <a:noFill/>
      <a:round/>
    </a:ln>
    <a:effectLst>
      <a:innerShdw blurRad="63500" dist="50800" dir="108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and Logistics Analysis Project.xlsx]Analysis!PivotTable4</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Payment Mode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Analysis!$D$141</c:f>
              <c:strCache>
                <c:ptCount val="1"/>
                <c:pt idx="0">
                  <c:v>Sum of Revenue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299-4FD5-8BCE-4130430EA45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299-4FD5-8BCE-4130430EA45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299-4FD5-8BCE-4130430EA4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Analysis!$C$142:$C$145</c:f>
              <c:strCache>
                <c:ptCount val="3"/>
                <c:pt idx="0">
                  <c:v>Cash</c:v>
                </c:pt>
                <c:pt idx="1">
                  <c:v>Check</c:v>
                </c:pt>
                <c:pt idx="2">
                  <c:v>Credit Card</c:v>
                </c:pt>
              </c:strCache>
            </c:strRef>
          </c:cat>
          <c:val>
            <c:numRef>
              <c:f>Analysis!$D$142:$D$145</c:f>
              <c:numCache>
                <c:formatCode>[$$-409]#,##0;[Red][$$-409]#,##0</c:formatCode>
                <c:ptCount val="3"/>
                <c:pt idx="0">
                  <c:v>3774.85</c:v>
                </c:pt>
                <c:pt idx="1">
                  <c:v>18621.45</c:v>
                </c:pt>
                <c:pt idx="2">
                  <c:v>47847.78</c:v>
                </c:pt>
              </c:numCache>
            </c:numRef>
          </c:val>
          <c:extLst>
            <c:ext xmlns:c16="http://schemas.microsoft.com/office/drawing/2014/chart" uri="{C3380CC4-5D6E-409C-BE32-E72D297353CC}">
              <c16:uniqueId val="{00000006-4299-4FD5-8BCE-4130430EA459}"/>
            </c:ext>
          </c:extLst>
        </c:ser>
        <c:ser>
          <c:idx val="1"/>
          <c:order val="1"/>
          <c:tx>
            <c:strRef>
              <c:f>Analysis!$E$141</c:f>
              <c:strCache>
                <c:ptCount val="1"/>
                <c:pt idx="0">
                  <c:v>Percentage Revenue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4299-4FD5-8BCE-4130430EA45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4299-4FD5-8BCE-4130430EA45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4299-4FD5-8BCE-4130430EA4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Analysis!$C$142:$C$145</c:f>
              <c:strCache>
                <c:ptCount val="3"/>
                <c:pt idx="0">
                  <c:v>Cash</c:v>
                </c:pt>
                <c:pt idx="1">
                  <c:v>Check</c:v>
                </c:pt>
                <c:pt idx="2">
                  <c:v>Credit Card</c:v>
                </c:pt>
              </c:strCache>
            </c:strRef>
          </c:cat>
          <c:val>
            <c:numRef>
              <c:f>Analysis!$E$142:$E$145</c:f>
              <c:numCache>
                <c:formatCode>0.00%</c:formatCode>
                <c:ptCount val="3"/>
                <c:pt idx="0">
                  <c:v>5.373904818740597E-2</c:v>
                </c:pt>
                <c:pt idx="1">
                  <c:v>0.26509636114530932</c:v>
                </c:pt>
                <c:pt idx="2">
                  <c:v>0.68116459066728463</c:v>
                </c:pt>
              </c:numCache>
            </c:numRef>
          </c:val>
          <c:extLst>
            <c:ext xmlns:c16="http://schemas.microsoft.com/office/drawing/2014/chart" uri="{C3380CC4-5D6E-409C-BE32-E72D297353CC}">
              <c16:uniqueId val="{0000000D-4299-4FD5-8BCE-4130430EA45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noFill/>
      <a:round/>
    </a:ln>
    <a:effectLst>
      <a:innerShdw blurRad="63500" dist="50800" dir="108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and Logistics Analysis Project.xlsx]Analysis!PivotTable15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Shipping Fee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84077199180653"/>
          <c:y val="0.27717373869932921"/>
          <c:w val="0.69915922800819352"/>
          <c:h val="0.68578922426363376"/>
        </c:manualLayout>
      </c:layout>
      <c:barChart>
        <c:barDir val="bar"/>
        <c:grouping val="clustered"/>
        <c:varyColors val="0"/>
        <c:ser>
          <c:idx val="0"/>
          <c:order val="0"/>
          <c:tx>
            <c:strRef>
              <c:f>Analysis!$C$102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Analysis!$B$103:$B$107</c:f>
              <c:strCache>
                <c:ptCount val="4"/>
                <c:pt idx="0">
                  <c:v>South</c:v>
                </c:pt>
                <c:pt idx="1">
                  <c:v>West</c:v>
                </c:pt>
                <c:pt idx="2">
                  <c:v>East</c:v>
                </c:pt>
                <c:pt idx="3">
                  <c:v>North</c:v>
                </c:pt>
              </c:strCache>
            </c:strRef>
          </c:cat>
          <c:val>
            <c:numRef>
              <c:f>Analysis!$C$103:$C$107</c:f>
              <c:numCache>
                <c:formatCode>[$$-409]#,##0.00;[Red][$$-409]#,##0.00</c:formatCode>
                <c:ptCount val="4"/>
                <c:pt idx="0">
                  <c:v>1505.9662000000001</c:v>
                </c:pt>
                <c:pt idx="1">
                  <c:v>1539.0355</c:v>
                </c:pt>
                <c:pt idx="2">
                  <c:v>1874.5586499999999</c:v>
                </c:pt>
                <c:pt idx="3">
                  <c:v>2659.2851300000002</c:v>
                </c:pt>
              </c:numCache>
            </c:numRef>
          </c:val>
          <c:extLst>
            <c:ext xmlns:c16="http://schemas.microsoft.com/office/drawing/2014/chart" uri="{C3380CC4-5D6E-409C-BE32-E72D297353CC}">
              <c16:uniqueId val="{00000000-A488-4D1B-8EF9-4674D12A3710}"/>
            </c:ext>
          </c:extLst>
        </c:ser>
        <c:dLbls>
          <c:dLblPos val="outEnd"/>
          <c:showLegendKey val="0"/>
          <c:showVal val="1"/>
          <c:showCatName val="0"/>
          <c:showSerName val="0"/>
          <c:showPercent val="0"/>
          <c:showBubbleSize val="0"/>
        </c:dLbls>
        <c:gapWidth val="182"/>
        <c:axId val="1238599071"/>
        <c:axId val="1238618207"/>
      </c:barChart>
      <c:catAx>
        <c:axId val="12385990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618207"/>
        <c:crosses val="autoZero"/>
        <c:auto val="1"/>
        <c:lblAlgn val="ctr"/>
        <c:lblOffset val="100"/>
        <c:noMultiLvlLbl val="0"/>
      </c:catAx>
      <c:valAx>
        <c:axId val="1238618207"/>
        <c:scaling>
          <c:orientation val="minMax"/>
        </c:scaling>
        <c:delete val="1"/>
        <c:axPos val="b"/>
        <c:numFmt formatCode="[$$-409]#,##0.00;[Red][$$-409]#,##0.00" sourceLinked="1"/>
        <c:majorTickMark val="none"/>
        <c:minorTickMark val="none"/>
        <c:tickLblPos val="nextTo"/>
        <c:crossAx val="1238599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65000"/>
      </a:schemeClr>
    </a:solidFill>
    <a:ln w="9525" cap="flat" cmpd="sng" algn="ctr">
      <a:solidFill>
        <a:srgbClr val="F8F8F8"/>
      </a:solidFill>
      <a:round/>
    </a:ln>
    <a:effectLst/>
    <a:scene3d>
      <a:camera prst="orthographicFront"/>
      <a:lightRig rig="threePt" dir="t"/>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set!A1"/><Relationship Id="rId1" Type="http://schemas.openxmlformats.org/officeDocument/2006/relationships/hyperlink" Target="#Dashboard!A1"/><Relationship Id="rId5" Type="http://schemas.openxmlformats.org/officeDocument/2006/relationships/image" Target="../media/image2.sv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set!A1"/><Relationship Id="rId1" Type="http://schemas.openxmlformats.org/officeDocument/2006/relationships/hyperlink" Target="#Dashboard!A1"/><Relationship Id="rId5" Type="http://schemas.openxmlformats.org/officeDocument/2006/relationships/image" Target="../media/image2.sv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chart" Target="../charts/chart8.xml"/><Relationship Id="rId18" Type="http://schemas.openxmlformats.org/officeDocument/2006/relationships/chart" Target="../charts/chart13.xml"/><Relationship Id="rId3" Type="http://schemas.openxmlformats.org/officeDocument/2006/relationships/hyperlink" Target="#Analysis!A1"/><Relationship Id="rId7" Type="http://schemas.openxmlformats.org/officeDocument/2006/relationships/image" Target="../media/image1.png"/><Relationship Id="rId12" Type="http://schemas.openxmlformats.org/officeDocument/2006/relationships/chart" Target="../charts/chart7.xml"/><Relationship Id="rId17" Type="http://schemas.openxmlformats.org/officeDocument/2006/relationships/chart" Target="../charts/chart12.xml"/><Relationship Id="rId2" Type="http://schemas.openxmlformats.org/officeDocument/2006/relationships/hyperlink" Target="#Dataset!A1"/><Relationship Id="rId16" Type="http://schemas.openxmlformats.org/officeDocument/2006/relationships/chart" Target="../charts/chart11.xml"/><Relationship Id="rId1" Type="http://schemas.openxmlformats.org/officeDocument/2006/relationships/hyperlink" Target="#Dashboard!A1"/><Relationship Id="rId6" Type="http://schemas.openxmlformats.org/officeDocument/2006/relationships/chart" Target="../charts/chart3.xml"/><Relationship Id="rId11" Type="http://schemas.openxmlformats.org/officeDocument/2006/relationships/chart" Target="../charts/chart6.xml"/><Relationship Id="rId5" Type="http://schemas.openxmlformats.org/officeDocument/2006/relationships/chart" Target="../charts/chart2.xml"/><Relationship Id="rId15" Type="http://schemas.openxmlformats.org/officeDocument/2006/relationships/chart" Target="../charts/chart10.xml"/><Relationship Id="rId10" Type="http://schemas.openxmlformats.org/officeDocument/2006/relationships/chart" Target="../charts/chart5.xml"/><Relationship Id="rId19" Type="http://schemas.openxmlformats.org/officeDocument/2006/relationships/chart" Target="../charts/chart14.xml"/><Relationship Id="rId4" Type="http://schemas.openxmlformats.org/officeDocument/2006/relationships/chart" Target="../charts/chart1.xml"/><Relationship Id="rId9" Type="http://schemas.openxmlformats.org/officeDocument/2006/relationships/chart" Target="../charts/chart4.xml"/><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104775</xdr:colOff>
      <xdr:row>7</xdr:row>
      <xdr:rowOff>28575</xdr:rowOff>
    </xdr:from>
    <xdr:to>
      <xdr:col>0</xdr:col>
      <xdr:colOff>1112775</xdr:colOff>
      <xdr:row>9</xdr:row>
      <xdr:rowOff>7575</xdr:rowOff>
    </xdr:to>
    <xdr:sp macro="" textlink="">
      <xdr:nvSpPr>
        <xdr:cNvPr id="2" name="Rectangle: Rounded Corners 1">
          <a:extLst>
            <a:ext uri="{FF2B5EF4-FFF2-40B4-BE49-F238E27FC236}">
              <a16:creationId xmlns:a16="http://schemas.microsoft.com/office/drawing/2014/main" id="{D5323519-764B-4798-8166-9CE400DCC608}"/>
            </a:ext>
          </a:extLst>
        </xdr:cNvPr>
        <xdr:cNvSpPr/>
      </xdr:nvSpPr>
      <xdr:spPr>
        <a:xfrm>
          <a:off x="104775" y="1466850"/>
          <a:ext cx="1008000" cy="360000"/>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142875</xdr:colOff>
      <xdr:row>7</xdr:row>
      <xdr:rowOff>71437</xdr:rowOff>
    </xdr:from>
    <xdr:to>
      <xdr:col>0</xdr:col>
      <xdr:colOff>1066801</xdr:colOff>
      <xdr:row>8</xdr:row>
      <xdr:rowOff>171450</xdr:rowOff>
    </xdr:to>
    <xdr:sp macro="" textlink="">
      <xdr:nvSpPr>
        <xdr:cNvPr id="3" name="TextBox 2">
          <a:hlinkClick xmlns:r="http://schemas.openxmlformats.org/officeDocument/2006/relationships" r:id="rId1"/>
          <a:extLst>
            <a:ext uri="{FF2B5EF4-FFF2-40B4-BE49-F238E27FC236}">
              <a16:creationId xmlns:a16="http://schemas.microsoft.com/office/drawing/2014/main" id="{46A6F18E-1C6F-41CE-B793-F25616CF9C5D}"/>
            </a:ext>
          </a:extLst>
        </xdr:cNvPr>
        <xdr:cNvSpPr txBox="1"/>
      </xdr:nvSpPr>
      <xdr:spPr>
        <a:xfrm>
          <a:off x="142875" y="1509712"/>
          <a:ext cx="923926" cy="290513"/>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cap="none" spc="0">
              <a:ln w="0"/>
              <a:solidFill>
                <a:schemeClr val="tx1"/>
              </a:solidFill>
              <a:effectLst>
                <a:outerShdw blurRad="38100" dist="19050" dir="2700000" algn="tl" rotWithShape="0">
                  <a:schemeClr val="dk1">
                    <a:alpha val="40000"/>
                  </a:schemeClr>
                </a:outerShdw>
              </a:effectLst>
            </a:rPr>
            <a:t>Dashboard</a:t>
          </a:r>
          <a:endParaRPr lang="en-GB" sz="1100"/>
        </a:p>
      </xdr:txBody>
    </xdr:sp>
    <xdr:clientData/>
  </xdr:twoCellAnchor>
  <xdr:twoCellAnchor>
    <xdr:from>
      <xdr:col>0</xdr:col>
      <xdr:colOff>114300</xdr:colOff>
      <xdr:row>9</xdr:row>
      <xdr:rowOff>174625</xdr:rowOff>
    </xdr:from>
    <xdr:to>
      <xdr:col>0</xdr:col>
      <xdr:colOff>1122300</xdr:colOff>
      <xdr:row>11</xdr:row>
      <xdr:rowOff>153625</xdr:rowOff>
    </xdr:to>
    <xdr:sp macro="" textlink="">
      <xdr:nvSpPr>
        <xdr:cNvPr id="4" name="Rectangle: Rounded Corners 3">
          <a:extLst>
            <a:ext uri="{FF2B5EF4-FFF2-40B4-BE49-F238E27FC236}">
              <a16:creationId xmlns:a16="http://schemas.microsoft.com/office/drawing/2014/main" id="{FAC09BBC-B9E7-4821-852E-871D0008C533}"/>
            </a:ext>
          </a:extLst>
        </xdr:cNvPr>
        <xdr:cNvSpPr/>
      </xdr:nvSpPr>
      <xdr:spPr>
        <a:xfrm>
          <a:off x="114300" y="1993900"/>
          <a:ext cx="1008000" cy="360000"/>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107950</xdr:colOff>
      <xdr:row>12</xdr:row>
      <xdr:rowOff>158750</xdr:rowOff>
    </xdr:from>
    <xdr:to>
      <xdr:col>0</xdr:col>
      <xdr:colOff>1115950</xdr:colOff>
      <xdr:row>14</xdr:row>
      <xdr:rowOff>137750</xdr:rowOff>
    </xdr:to>
    <xdr:sp macro="" textlink="">
      <xdr:nvSpPr>
        <xdr:cNvPr id="5" name="Rectangle: Rounded Corners 4">
          <a:extLst>
            <a:ext uri="{FF2B5EF4-FFF2-40B4-BE49-F238E27FC236}">
              <a16:creationId xmlns:a16="http://schemas.microsoft.com/office/drawing/2014/main" id="{FD9DEC40-705F-4597-B3F8-5BF4879F02B4}"/>
            </a:ext>
          </a:extLst>
        </xdr:cNvPr>
        <xdr:cNvSpPr/>
      </xdr:nvSpPr>
      <xdr:spPr>
        <a:xfrm>
          <a:off x="107950" y="2549525"/>
          <a:ext cx="1008000" cy="360000"/>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endParaRPr>
        </a:p>
      </xdr:txBody>
    </xdr:sp>
    <xdr:clientData/>
  </xdr:twoCellAnchor>
  <xdr:twoCellAnchor>
    <xdr:from>
      <xdr:col>0</xdr:col>
      <xdr:colOff>219075</xdr:colOff>
      <xdr:row>10</xdr:row>
      <xdr:rowOff>14287</xdr:rowOff>
    </xdr:from>
    <xdr:to>
      <xdr:col>0</xdr:col>
      <xdr:colOff>971550</xdr:colOff>
      <xdr:row>11</xdr:row>
      <xdr:rowOff>76200</xdr:rowOff>
    </xdr:to>
    <xdr:sp macro="" textlink="">
      <xdr:nvSpPr>
        <xdr:cNvPr id="6" name="TextBox 5">
          <a:hlinkClick xmlns:r="http://schemas.openxmlformats.org/officeDocument/2006/relationships" r:id="rId2"/>
          <a:extLst>
            <a:ext uri="{FF2B5EF4-FFF2-40B4-BE49-F238E27FC236}">
              <a16:creationId xmlns:a16="http://schemas.microsoft.com/office/drawing/2014/main" id="{393DC3DF-2E23-426C-B17A-AD2A9C6AEA71}"/>
            </a:ext>
          </a:extLst>
        </xdr:cNvPr>
        <xdr:cNvSpPr txBox="1"/>
      </xdr:nvSpPr>
      <xdr:spPr>
        <a:xfrm>
          <a:off x="219075" y="2024062"/>
          <a:ext cx="752475" cy="252413"/>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cap="none" spc="0">
              <a:ln w="0"/>
              <a:solidFill>
                <a:schemeClr val="tx1"/>
              </a:solidFill>
              <a:effectLst>
                <a:outerShdw blurRad="38100" dist="19050" dir="2700000" algn="tl" rotWithShape="0">
                  <a:schemeClr val="dk1">
                    <a:alpha val="40000"/>
                  </a:schemeClr>
                </a:outerShdw>
              </a:effectLst>
            </a:rPr>
            <a:t>Dataset</a:t>
          </a:r>
          <a:endParaRPr lang="en-GB" sz="1100"/>
        </a:p>
      </xdr:txBody>
    </xdr:sp>
    <xdr:clientData/>
  </xdr:twoCellAnchor>
  <xdr:twoCellAnchor>
    <xdr:from>
      <xdr:col>0</xdr:col>
      <xdr:colOff>209551</xdr:colOff>
      <xdr:row>12</xdr:row>
      <xdr:rowOff>190499</xdr:rowOff>
    </xdr:from>
    <xdr:to>
      <xdr:col>0</xdr:col>
      <xdr:colOff>971551</xdr:colOff>
      <xdr:row>14</xdr:row>
      <xdr:rowOff>47624</xdr:rowOff>
    </xdr:to>
    <xdr:sp macro="" textlink="">
      <xdr:nvSpPr>
        <xdr:cNvPr id="7" name="TextBox 6">
          <a:hlinkClick xmlns:r="http://schemas.openxmlformats.org/officeDocument/2006/relationships" r:id="rId3"/>
          <a:extLst>
            <a:ext uri="{FF2B5EF4-FFF2-40B4-BE49-F238E27FC236}">
              <a16:creationId xmlns:a16="http://schemas.microsoft.com/office/drawing/2014/main" id="{E551B0FD-122D-485D-B619-2F89D7273817}"/>
            </a:ext>
          </a:extLst>
        </xdr:cNvPr>
        <xdr:cNvSpPr txBox="1"/>
      </xdr:nvSpPr>
      <xdr:spPr>
        <a:xfrm>
          <a:off x="209551" y="2581274"/>
          <a:ext cx="762000" cy="238125"/>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cap="none" spc="0">
              <a:ln w="0"/>
              <a:solidFill>
                <a:schemeClr val="tx1"/>
              </a:solidFill>
              <a:effectLst>
                <a:outerShdw blurRad="38100" dist="19050" dir="2700000" algn="tl" rotWithShape="0">
                  <a:schemeClr val="dk1">
                    <a:alpha val="40000"/>
                  </a:schemeClr>
                </a:outerShdw>
              </a:effectLst>
            </a:rPr>
            <a:t>Analysis</a:t>
          </a:r>
          <a:endParaRPr lang="en-GB" sz="1100"/>
        </a:p>
      </xdr:txBody>
    </xdr:sp>
    <xdr:clientData/>
  </xdr:twoCellAnchor>
  <xdr:twoCellAnchor>
    <xdr:from>
      <xdr:col>0</xdr:col>
      <xdr:colOff>120650</xdr:colOff>
      <xdr:row>15</xdr:row>
      <xdr:rowOff>123825</xdr:rowOff>
    </xdr:from>
    <xdr:to>
      <xdr:col>0</xdr:col>
      <xdr:colOff>1128650</xdr:colOff>
      <xdr:row>17</xdr:row>
      <xdr:rowOff>102825</xdr:rowOff>
    </xdr:to>
    <xdr:sp macro="" textlink="">
      <xdr:nvSpPr>
        <xdr:cNvPr id="8" name="Rectangle: Rounded Corners 7">
          <a:extLst>
            <a:ext uri="{FF2B5EF4-FFF2-40B4-BE49-F238E27FC236}">
              <a16:creationId xmlns:a16="http://schemas.microsoft.com/office/drawing/2014/main" id="{25D7F8FF-5922-4253-A9C9-99E3D4D98807}"/>
            </a:ext>
          </a:extLst>
        </xdr:cNvPr>
        <xdr:cNvSpPr/>
      </xdr:nvSpPr>
      <xdr:spPr>
        <a:xfrm>
          <a:off x="120650" y="3086100"/>
          <a:ext cx="1008000" cy="360000"/>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228600</xdr:colOff>
      <xdr:row>15</xdr:row>
      <xdr:rowOff>176212</xdr:rowOff>
    </xdr:from>
    <xdr:to>
      <xdr:col>0</xdr:col>
      <xdr:colOff>981075</xdr:colOff>
      <xdr:row>17</xdr:row>
      <xdr:rowOff>47625</xdr:rowOff>
    </xdr:to>
    <xdr:sp macro="" textlink="">
      <xdr:nvSpPr>
        <xdr:cNvPr id="9" name="TextBox 8">
          <a:extLst>
            <a:ext uri="{FF2B5EF4-FFF2-40B4-BE49-F238E27FC236}">
              <a16:creationId xmlns:a16="http://schemas.microsoft.com/office/drawing/2014/main" id="{4E33888D-AEA5-4555-B4C9-B6AC561B0385}"/>
            </a:ext>
          </a:extLst>
        </xdr:cNvPr>
        <xdr:cNvSpPr txBox="1"/>
      </xdr:nvSpPr>
      <xdr:spPr>
        <a:xfrm>
          <a:off x="228600" y="3138487"/>
          <a:ext cx="752475" cy="252413"/>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cap="none" spc="0">
              <a:ln w="0"/>
              <a:solidFill>
                <a:schemeClr val="tx1"/>
              </a:solidFill>
              <a:effectLst>
                <a:outerShdw blurRad="38100" dist="19050" dir="2700000" algn="tl" rotWithShape="0">
                  <a:schemeClr val="dk1">
                    <a:alpha val="40000"/>
                  </a:schemeClr>
                </a:outerShdw>
              </a:effectLst>
            </a:rPr>
            <a:t>Contact</a:t>
          </a:r>
          <a:endParaRPr lang="en-GB" sz="1100"/>
        </a:p>
      </xdr:txBody>
    </xdr:sp>
    <xdr:clientData/>
  </xdr:twoCellAnchor>
  <xdr:twoCellAnchor editAs="oneCell">
    <xdr:from>
      <xdr:col>0</xdr:col>
      <xdr:colOff>9525</xdr:colOff>
      <xdr:row>0</xdr:row>
      <xdr:rowOff>95250</xdr:rowOff>
    </xdr:from>
    <xdr:to>
      <xdr:col>1</xdr:col>
      <xdr:colOff>609599</xdr:colOff>
      <xdr:row>5</xdr:row>
      <xdr:rowOff>57150</xdr:rowOff>
    </xdr:to>
    <xdr:pic>
      <xdr:nvPicPr>
        <xdr:cNvPr id="10" name="Graphic 9" descr="Shopping cart with solid fill">
          <a:extLst>
            <a:ext uri="{FF2B5EF4-FFF2-40B4-BE49-F238E27FC236}">
              <a16:creationId xmlns:a16="http://schemas.microsoft.com/office/drawing/2014/main" id="{13B65CBE-5DF9-41A2-A5BE-41DB11A5FF8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525" y="95250"/>
          <a:ext cx="1209674"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7</xdr:row>
      <xdr:rowOff>28575</xdr:rowOff>
    </xdr:from>
    <xdr:to>
      <xdr:col>0</xdr:col>
      <xdr:colOff>1112775</xdr:colOff>
      <xdr:row>9</xdr:row>
      <xdr:rowOff>7575</xdr:rowOff>
    </xdr:to>
    <xdr:sp macro="" textlink="">
      <xdr:nvSpPr>
        <xdr:cNvPr id="2" name="Rectangle: Rounded Corners 1">
          <a:extLst>
            <a:ext uri="{FF2B5EF4-FFF2-40B4-BE49-F238E27FC236}">
              <a16:creationId xmlns:a16="http://schemas.microsoft.com/office/drawing/2014/main" id="{219B4A32-C36B-49BD-AAFE-6A82E716B55F}"/>
            </a:ext>
          </a:extLst>
        </xdr:cNvPr>
        <xdr:cNvSpPr/>
      </xdr:nvSpPr>
      <xdr:spPr>
        <a:xfrm>
          <a:off x="104775" y="1362075"/>
          <a:ext cx="1008000" cy="360000"/>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142875</xdr:colOff>
      <xdr:row>7</xdr:row>
      <xdr:rowOff>71437</xdr:rowOff>
    </xdr:from>
    <xdr:to>
      <xdr:col>0</xdr:col>
      <xdr:colOff>1066801</xdr:colOff>
      <xdr:row>8</xdr:row>
      <xdr:rowOff>171450</xdr:rowOff>
    </xdr:to>
    <xdr:sp macro="" textlink="">
      <xdr:nvSpPr>
        <xdr:cNvPr id="3" name="TextBox 2">
          <a:hlinkClick xmlns:r="http://schemas.openxmlformats.org/officeDocument/2006/relationships" r:id="rId1"/>
          <a:extLst>
            <a:ext uri="{FF2B5EF4-FFF2-40B4-BE49-F238E27FC236}">
              <a16:creationId xmlns:a16="http://schemas.microsoft.com/office/drawing/2014/main" id="{872F4923-9C4D-449C-B44D-888BE83B0B30}"/>
            </a:ext>
          </a:extLst>
        </xdr:cNvPr>
        <xdr:cNvSpPr txBox="1"/>
      </xdr:nvSpPr>
      <xdr:spPr>
        <a:xfrm>
          <a:off x="142875" y="1404937"/>
          <a:ext cx="923926" cy="290513"/>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cap="none" spc="0">
              <a:ln w="0"/>
              <a:solidFill>
                <a:schemeClr val="tx1"/>
              </a:solidFill>
              <a:effectLst>
                <a:outerShdw blurRad="38100" dist="19050" dir="2700000" algn="tl" rotWithShape="0">
                  <a:schemeClr val="dk1">
                    <a:alpha val="40000"/>
                  </a:schemeClr>
                </a:outerShdw>
              </a:effectLst>
            </a:rPr>
            <a:t>Dashboard</a:t>
          </a:r>
          <a:endParaRPr lang="en-GB" sz="1100"/>
        </a:p>
      </xdr:txBody>
    </xdr:sp>
    <xdr:clientData/>
  </xdr:twoCellAnchor>
  <xdr:twoCellAnchor>
    <xdr:from>
      <xdr:col>0</xdr:col>
      <xdr:colOff>114300</xdr:colOff>
      <xdr:row>9</xdr:row>
      <xdr:rowOff>174625</xdr:rowOff>
    </xdr:from>
    <xdr:to>
      <xdr:col>0</xdr:col>
      <xdr:colOff>1122300</xdr:colOff>
      <xdr:row>11</xdr:row>
      <xdr:rowOff>153625</xdr:rowOff>
    </xdr:to>
    <xdr:sp macro="" textlink="">
      <xdr:nvSpPr>
        <xdr:cNvPr id="4" name="Rectangle: Rounded Corners 3">
          <a:extLst>
            <a:ext uri="{FF2B5EF4-FFF2-40B4-BE49-F238E27FC236}">
              <a16:creationId xmlns:a16="http://schemas.microsoft.com/office/drawing/2014/main" id="{9D3AD34B-958A-489D-83C4-957EA2576354}"/>
            </a:ext>
          </a:extLst>
        </xdr:cNvPr>
        <xdr:cNvSpPr/>
      </xdr:nvSpPr>
      <xdr:spPr>
        <a:xfrm>
          <a:off x="114300" y="1889125"/>
          <a:ext cx="1008000" cy="360000"/>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107950</xdr:colOff>
      <xdr:row>12</xdr:row>
      <xdr:rowOff>158750</xdr:rowOff>
    </xdr:from>
    <xdr:to>
      <xdr:col>0</xdr:col>
      <xdr:colOff>1115950</xdr:colOff>
      <xdr:row>14</xdr:row>
      <xdr:rowOff>137750</xdr:rowOff>
    </xdr:to>
    <xdr:sp macro="" textlink="">
      <xdr:nvSpPr>
        <xdr:cNvPr id="5" name="Rectangle: Rounded Corners 4">
          <a:extLst>
            <a:ext uri="{FF2B5EF4-FFF2-40B4-BE49-F238E27FC236}">
              <a16:creationId xmlns:a16="http://schemas.microsoft.com/office/drawing/2014/main" id="{88039C1D-5AB3-46FA-AB22-B2061ADEF648}"/>
            </a:ext>
          </a:extLst>
        </xdr:cNvPr>
        <xdr:cNvSpPr/>
      </xdr:nvSpPr>
      <xdr:spPr>
        <a:xfrm>
          <a:off x="107950" y="2444750"/>
          <a:ext cx="1008000" cy="360000"/>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endParaRPr>
        </a:p>
      </xdr:txBody>
    </xdr:sp>
    <xdr:clientData/>
  </xdr:twoCellAnchor>
  <xdr:twoCellAnchor>
    <xdr:from>
      <xdr:col>0</xdr:col>
      <xdr:colOff>219075</xdr:colOff>
      <xdr:row>10</xdr:row>
      <xdr:rowOff>14287</xdr:rowOff>
    </xdr:from>
    <xdr:to>
      <xdr:col>0</xdr:col>
      <xdr:colOff>971550</xdr:colOff>
      <xdr:row>11</xdr:row>
      <xdr:rowOff>76200</xdr:rowOff>
    </xdr:to>
    <xdr:sp macro="" textlink="">
      <xdr:nvSpPr>
        <xdr:cNvPr id="6" name="TextBox 5">
          <a:hlinkClick xmlns:r="http://schemas.openxmlformats.org/officeDocument/2006/relationships" r:id="rId2"/>
          <a:extLst>
            <a:ext uri="{FF2B5EF4-FFF2-40B4-BE49-F238E27FC236}">
              <a16:creationId xmlns:a16="http://schemas.microsoft.com/office/drawing/2014/main" id="{BFCC2D19-C6A7-4947-A680-45100D995DE6}"/>
            </a:ext>
          </a:extLst>
        </xdr:cNvPr>
        <xdr:cNvSpPr txBox="1"/>
      </xdr:nvSpPr>
      <xdr:spPr>
        <a:xfrm>
          <a:off x="219075" y="1919287"/>
          <a:ext cx="752475" cy="252413"/>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cap="none" spc="0">
              <a:ln w="0"/>
              <a:solidFill>
                <a:schemeClr val="tx1"/>
              </a:solidFill>
              <a:effectLst>
                <a:outerShdw blurRad="38100" dist="19050" dir="2700000" algn="tl" rotWithShape="0">
                  <a:schemeClr val="dk1">
                    <a:alpha val="40000"/>
                  </a:schemeClr>
                </a:outerShdw>
              </a:effectLst>
            </a:rPr>
            <a:t>Dataset</a:t>
          </a:r>
          <a:endParaRPr lang="en-GB" sz="1100"/>
        </a:p>
      </xdr:txBody>
    </xdr:sp>
    <xdr:clientData/>
  </xdr:twoCellAnchor>
  <xdr:twoCellAnchor>
    <xdr:from>
      <xdr:col>0</xdr:col>
      <xdr:colOff>209551</xdr:colOff>
      <xdr:row>12</xdr:row>
      <xdr:rowOff>190499</xdr:rowOff>
    </xdr:from>
    <xdr:to>
      <xdr:col>0</xdr:col>
      <xdr:colOff>971551</xdr:colOff>
      <xdr:row>14</xdr:row>
      <xdr:rowOff>47624</xdr:rowOff>
    </xdr:to>
    <xdr:sp macro="" textlink="">
      <xdr:nvSpPr>
        <xdr:cNvPr id="7" name="TextBox 6">
          <a:hlinkClick xmlns:r="http://schemas.openxmlformats.org/officeDocument/2006/relationships" r:id="rId3"/>
          <a:extLst>
            <a:ext uri="{FF2B5EF4-FFF2-40B4-BE49-F238E27FC236}">
              <a16:creationId xmlns:a16="http://schemas.microsoft.com/office/drawing/2014/main" id="{05100B4D-92E7-4A59-863C-F091644559D8}"/>
            </a:ext>
          </a:extLst>
        </xdr:cNvPr>
        <xdr:cNvSpPr txBox="1"/>
      </xdr:nvSpPr>
      <xdr:spPr>
        <a:xfrm>
          <a:off x="209551" y="2476499"/>
          <a:ext cx="762000" cy="238125"/>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cap="none" spc="0">
              <a:ln w="0"/>
              <a:solidFill>
                <a:schemeClr val="tx1"/>
              </a:solidFill>
              <a:effectLst>
                <a:outerShdw blurRad="38100" dist="19050" dir="2700000" algn="tl" rotWithShape="0">
                  <a:schemeClr val="dk1">
                    <a:alpha val="40000"/>
                  </a:schemeClr>
                </a:outerShdw>
              </a:effectLst>
            </a:rPr>
            <a:t>Analysis</a:t>
          </a:r>
          <a:endParaRPr lang="en-GB" sz="1100"/>
        </a:p>
      </xdr:txBody>
    </xdr:sp>
    <xdr:clientData/>
  </xdr:twoCellAnchor>
  <xdr:twoCellAnchor>
    <xdr:from>
      <xdr:col>0</xdr:col>
      <xdr:colOff>120650</xdr:colOff>
      <xdr:row>15</xdr:row>
      <xdr:rowOff>123825</xdr:rowOff>
    </xdr:from>
    <xdr:to>
      <xdr:col>0</xdr:col>
      <xdr:colOff>1128650</xdr:colOff>
      <xdr:row>17</xdr:row>
      <xdr:rowOff>102825</xdr:rowOff>
    </xdr:to>
    <xdr:sp macro="" textlink="">
      <xdr:nvSpPr>
        <xdr:cNvPr id="8" name="Rectangle: Rounded Corners 7">
          <a:extLst>
            <a:ext uri="{FF2B5EF4-FFF2-40B4-BE49-F238E27FC236}">
              <a16:creationId xmlns:a16="http://schemas.microsoft.com/office/drawing/2014/main" id="{A6600ECB-4983-46AF-A31F-DD788E1EFE73}"/>
            </a:ext>
          </a:extLst>
        </xdr:cNvPr>
        <xdr:cNvSpPr/>
      </xdr:nvSpPr>
      <xdr:spPr>
        <a:xfrm>
          <a:off x="120650" y="2981325"/>
          <a:ext cx="1008000" cy="360000"/>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228600</xdr:colOff>
      <xdr:row>15</xdr:row>
      <xdr:rowOff>176212</xdr:rowOff>
    </xdr:from>
    <xdr:to>
      <xdr:col>0</xdr:col>
      <xdr:colOff>981075</xdr:colOff>
      <xdr:row>17</xdr:row>
      <xdr:rowOff>47625</xdr:rowOff>
    </xdr:to>
    <xdr:sp macro="" textlink="">
      <xdr:nvSpPr>
        <xdr:cNvPr id="9" name="TextBox 8">
          <a:extLst>
            <a:ext uri="{FF2B5EF4-FFF2-40B4-BE49-F238E27FC236}">
              <a16:creationId xmlns:a16="http://schemas.microsoft.com/office/drawing/2014/main" id="{08CE8012-2CC7-42AF-9349-C76294A41449}"/>
            </a:ext>
          </a:extLst>
        </xdr:cNvPr>
        <xdr:cNvSpPr txBox="1"/>
      </xdr:nvSpPr>
      <xdr:spPr>
        <a:xfrm>
          <a:off x="228600" y="3033712"/>
          <a:ext cx="752475" cy="252413"/>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cap="none" spc="0">
              <a:ln w="0"/>
              <a:solidFill>
                <a:schemeClr val="tx1"/>
              </a:solidFill>
              <a:effectLst>
                <a:outerShdw blurRad="38100" dist="19050" dir="2700000" algn="tl" rotWithShape="0">
                  <a:schemeClr val="dk1">
                    <a:alpha val="40000"/>
                  </a:schemeClr>
                </a:outerShdw>
              </a:effectLst>
            </a:rPr>
            <a:t>Contact</a:t>
          </a:r>
          <a:endParaRPr lang="en-GB" sz="1100"/>
        </a:p>
      </xdr:txBody>
    </xdr:sp>
    <xdr:clientData/>
  </xdr:twoCellAnchor>
  <xdr:twoCellAnchor editAs="oneCell">
    <xdr:from>
      <xdr:col>0</xdr:col>
      <xdr:colOff>9525</xdr:colOff>
      <xdr:row>0</xdr:row>
      <xdr:rowOff>95250</xdr:rowOff>
    </xdr:from>
    <xdr:to>
      <xdr:col>0</xdr:col>
      <xdr:colOff>1266825</xdr:colOff>
      <xdr:row>4</xdr:row>
      <xdr:rowOff>152400</xdr:rowOff>
    </xdr:to>
    <xdr:pic>
      <xdr:nvPicPr>
        <xdr:cNvPr id="10" name="Graphic 9" descr="Shopping cart with solid fill">
          <a:extLst>
            <a:ext uri="{FF2B5EF4-FFF2-40B4-BE49-F238E27FC236}">
              <a16:creationId xmlns:a16="http://schemas.microsoft.com/office/drawing/2014/main" id="{39299907-A3C3-4389-A4CF-F7D43FD007E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525" y="95250"/>
          <a:ext cx="12573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0</xdr:row>
      <xdr:rowOff>38100</xdr:rowOff>
    </xdr:from>
    <xdr:to>
      <xdr:col>14</xdr:col>
      <xdr:colOff>19050</xdr:colOff>
      <xdr:row>3</xdr:row>
      <xdr:rowOff>28575</xdr:rowOff>
    </xdr:to>
    <xdr:sp macro="" textlink="">
      <xdr:nvSpPr>
        <xdr:cNvPr id="2" name="Rectangle: Rounded Corners 1">
          <a:extLst>
            <a:ext uri="{FF2B5EF4-FFF2-40B4-BE49-F238E27FC236}">
              <a16:creationId xmlns:a16="http://schemas.microsoft.com/office/drawing/2014/main" id="{CBA99570-2C93-45D0-9B97-89C703AB9855}"/>
            </a:ext>
          </a:extLst>
        </xdr:cNvPr>
        <xdr:cNvSpPr/>
      </xdr:nvSpPr>
      <xdr:spPr>
        <a:xfrm>
          <a:off x="1314450" y="38100"/>
          <a:ext cx="7934325" cy="561975"/>
        </a:xfrm>
        <a:prstGeom prst="roundRect">
          <a:avLst/>
        </a:prstGeom>
        <a:solidFill>
          <a:schemeClr val="tx1"/>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104775</xdr:colOff>
      <xdr:row>5</xdr:row>
      <xdr:rowOff>76200</xdr:rowOff>
    </xdr:from>
    <xdr:to>
      <xdr:col>0</xdr:col>
      <xdr:colOff>1112775</xdr:colOff>
      <xdr:row>6</xdr:row>
      <xdr:rowOff>245700</xdr:rowOff>
    </xdr:to>
    <xdr:sp macro="" textlink="">
      <xdr:nvSpPr>
        <xdr:cNvPr id="3" name="Rectangle: Rounded Corners 2">
          <a:extLst>
            <a:ext uri="{FF2B5EF4-FFF2-40B4-BE49-F238E27FC236}">
              <a16:creationId xmlns:a16="http://schemas.microsoft.com/office/drawing/2014/main" id="{43ED1AC7-2AF9-4F92-A95A-7C3EAE4797C1}"/>
            </a:ext>
          </a:extLst>
        </xdr:cNvPr>
        <xdr:cNvSpPr/>
      </xdr:nvSpPr>
      <xdr:spPr>
        <a:xfrm>
          <a:off x="104775" y="1028700"/>
          <a:ext cx="1008000" cy="360000"/>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361949</xdr:colOff>
      <xdr:row>6</xdr:row>
      <xdr:rowOff>180975</xdr:rowOff>
    </xdr:from>
    <xdr:to>
      <xdr:col>19</xdr:col>
      <xdr:colOff>314325</xdr:colOff>
      <xdr:row>22</xdr:row>
      <xdr:rowOff>38100</xdr:rowOff>
    </xdr:to>
    <xdr:sp macro="" textlink="">
      <xdr:nvSpPr>
        <xdr:cNvPr id="4" name="Rectangle 3">
          <a:extLst>
            <a:ext uri="{FF2B5EF4-FFF2-40B4-BE49-F238E27FC236}">
              <a16:creationId xmlns:a16="http://schemas.microsoft.com/office/drawing/2014/main" id="{21DED2A1-DFA3-49BC-8A74-62A8D1C40A40}"/>
            </a:ext>
          </a:extLst>
        </xdr:cNvPr>
        <xdr:cNvSpPr/>
      </xdr:nvSpPr>
      <xdr:spPr>
        <a:xfrm>
          <a:off x="1666874" y="1323975"/>
          <a:ext cx="10925176" cy="3009900"/>
        </a:xfrm>
        <a:prstGeom prst="rect">
          <a:avLst/>
        </a:prstGeom>
        <a:solidFill>
          <a:schemeClr val="tx1"/>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200026</xdr:colOff>
      <xdr:row>3</xdr:row>
      <xdr:rowOff>47625</xdr:rowOff>
    </xdr:from>
    <xdr:to>
      <xdr:col>7</xdr:col>
      <xdr:colOff>161926</xdr:colOff>
      <xdr:row>6</xdr:row>
      <xdr:rowOff>171450</xdr:rowOff>
    </xdr:to>
    <xdr:sp macro="" textlink="">
      <xdr:nvSpPr>
        <xdr:cNvPr id="6" name="Rectangle: Rounded Corners 5">
          <a:extLst>
            <a:ext uri="{FF2B5EF4-FFF2-40B4-BE49-F238E27FC236}">
              <a16:creationId xmlns:a16="http://schemas.microsoft.com/office/drawing/2014/main" id="{D07626FD-99BA-4C3B-9413-127AE04B865D}"/>
            </a:ext>
          </a:extLst>
        </xdr:cNvPr>
        <xdr:cNvSpPr/>
      </xdr:nvSpPr>
      <xdr:spPr>
        <a:xfrm>
          <a:off x="3943351" y="619125"/>
          <a:ext cx="1181100" cy="695325"/>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28574</xdr:colOff>
      <xdr:row>3</xdr:row>
      <xdr:rowOff>38100</xdr:rowOff>
    </xdr:from>
    <xdr:to>
      <xdr:col>2</xdr:col>
      <xdr:colOff>600075</xdr:colOff>
      <xdr:row>6</xdr:row>
      <xdr:rowOff>190500</xdr:rowOff>
    </xdr:to>
    <xdr:sp macro="" textlink="">
      <xdr:nvSpPr>
        <xdr:cNvPr id="8" name="Rectangle: Rounded Corners 7">
          <a:extLst>
            <a:ext uri="{FF2B5EF4-FFF2-40B4-BE49-F238E27FC236}">
              <a16:creationId xmlns:a16="http://schemas.microsoft.com/office/drawing/2014/main" id="{FD82BFDA-B47D-4DA2-85D7-31C01B3BB4CE}"/>
            </a:ext>
          </a:extLst>
        </xdr:cNvPr>
        <xdr:cNvSpPr/>
      </xdr:nvSpPr>
      <xdr:spPr>
        <a:xfrm>
          <a:off x="1333499" y="609600"/>
          <a:ext cx="1181101" cy="723900"/>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19049</xdr:colOff>
      <xdr:row>3</xdr:row>
      <xdr:rowOff>47625</xdr:rowOff>
    </xdr:from>
    <xdr:to>
      <xdr:col>5</xdr:col>
      <xdr:colOff>152400</xdr:colOff>
      <xdr:row>6</xdr:row>
      <xdr:rowOff>161925</xdr:rowOff>
    </xdr:to>
    <xdr:sp macro="" textlink="">
      <xdr:nvSpPr>
        <xdr:cNvPr id="9" name="Rectangle: Rounded Corners 8">
          <a:extLst>
            <a:ext uri="{FF2B5EF4-FFF2-40B4-BE49-F238E27FC236}">
              <a16:creationId xmlns:a16="http://schemas.microsoft.com/office/drawing/2014/main" id="{C2ACC2FE-7C54-4014-814D-54DFE32D01ED}"/>
            </a:ext>
          </a:extLst>
        </xdr:cNvPr>
        <xdr:cNvSpPr/>
      </xdr:nvSpPr>
      <xdr:spPr>
        <a:xfrm>
          <a:off x="2543174" y="619125"/>
          <a:ext cx="1352551" cy="685800"/>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114300</xdr:colOff>
      <xdr:row>0</xdr:row>
      <xdr:rowOff>95251</xdr:rowOff>
    </xdr:from>
    <xdr:to>
      <xdr:col>13</xdr:col>
      <xdr:colOff>504825</xdr:colOff>
      <xdr:row>2</xdr:row>
      <xdr:rowOff>76201</xdr:rowOff>
    </xdr:to>
    <xdr:sp macro="" textlink="">
      <xdr:nvSpPr>
        <xdr:cNvPr id="10" name="TextBox 9">
          <a:extLst>
            <a:ext uri="{FF2B5EF4-FFF2-40B4-BE49-F238E27FC236}">
              <a16:creationId xmlns:a16="http://schemas.microsoft.com/office/drawing/2014/main" id="{D88314CC-3376-48F6-8E12-758E376A7DCA}"/>
            </a:ext>
          </a:extLst>
        </xdr:cNvPr>
        <xdr:cNvSpPr txBox="1"/>
      </xdr:nvSpPr>
      <xdr:spPr>
        <a:xfrm>
          <a:off x="1419225" y="95251"/>
          <a:ext cx="7705725" cy="3619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200" b="1" i="0" u="none" strike="noStrike">
              <a:ln>
                <a:noFill/>
              </a:ln>
              <a:solidFill>
                <a:schemeClr val="bg1"/>
              </a:solidFill>
              <a:effectLst/>
              <a:latin typeface="+mn-lt"/>
              <a:ea typeface="+mn-ea"/>
              <a:cs typeface="+mn-cs"/>
            </a:rPr>
            <a:t>E-commerce Sales, Customer &amp; Logistics Performance Analysis</a:t>
          </a:r>
          <a:r>
            <a:rPr lang="en-GB" sz="2200" b="1">
              <a:ln>
                <a:noFill/>
              </a:ln>
              <a:solidFill>
                <a:schemeClr val="bg1"/>
              </a:solidFill>
            </a:rPr>
            <a:t> </a:t>
          </a:r>
        </a:p>
      </xdr:txBody>
    </xdr:sp>
    <xdr:clientData/>
  </xdr:twoCellAnchor>
  <xdr:twoCellAnchor>
    <xdr:from>
      <xdr:col>0</xdr:col>
      <xdr:colOff>142875</xdr:colOff>
      <xdr:row>5</xdr:row>
      <xdr:rowOff>119062</xdr:rowOff>
    </xdr:from>
    <xdr:to>
      <xdr:col>0</xdr:col>
      <xdr:colOff>1066801</xdr:colOff>
      <xdr:row>6</xdr:row>
      <xdr:rowOff>219075</xdr:rowOff>
    </xdr:to>
    <xdr:sp macro="" textlink="">
      <xdr:nvSpPr>
        <xdr:cNvPr id="11" name="TextBox 10">
          <a:hlinkClick xmlns:r="http://schemas.openxmlformats.org/officeDocument/2006/relationships" r:id="rId1"/>
          <a:extLst>
            <a:ext uri="{FF2B5EF4-FFF2-40B4-BE49-F238E27FC236}">
              <a16:creationId xmlns:a16="http://schemas.microsoft.com/office/drawing/2014/main" id="{BACDF76D-084C-4F98-8AE5-9569896BF6C8}"/>
            </a:ext>
          </a:extLst>
        </xdr:cNvPr>
        <xdr:cNvSpPr txBox="1"/>
      </xdr:nvSpPr>
      <xdr:spPr>
        <a:xfrm>
          <a:off x="142875" y="1071562"/>
          <a:ext cx="923926" cy="290513"/>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cap="none" spc="0">
              <a:ln w="0"/>
              <a:solidFill>
                <a:schemeClr val="tx1"/>
              </a:solidFill>
              <a:effectLst>
                <a:outerShdw blurRad="38100" dist="19050" dir="2700000" algn="tl" rotWithShape="0">
                  <a:schemeClr val="dk1">
                    <a:alpha val="40000"/>
                  </a:schemeClr>
                </a:outerShdw>
              </a:effectLst>
            </a:rPr>
            <a:t>Dashboard</a:t>
          </a:r>
          <a:endParaRPr lang="en-GB" sz="1100"/>
        </a:p>
      </xdr:txBody>
    </xdr:sp>
    <xdr:clientData/>
  </xdr:twoCellAnchor>
  <xdr:twoCellAnchor>
    <xdr:from>
      <xdr:col>0</xdr:col>
      <xdr:colOff>114300</xdr:colOff>
      <xdr:row>7</xdr:row>
      <xdr:rowOff>79375</xdr:rowOff>
    </xdr:from>
    <xdr:to>
      <xdr:col>0</xdr:col>
      <xdr:colOff>1122300</xdr:colOff>
      <xdr:row>9</xdr:row>
      <xdr:rowOff>58375</xdr:rowOff>
    </xdr:to>
    <xdr:sp macro="" textlink="">
      <xdr:nvSpPr>
        <xdr:cNvPr id="12" name="Rectangle: Rounded Corners 11">
          <a:extLst>
            <a:ext uri="{FF2B5EF4-FFF2-40B4-BE49-F238E27FC236}">
              <a16:creationId xmlns:a16="http://schemas.microsoft.com/office/drawing/2014/main" id="{386E963F-BB6D-4393-9272-D5E494DAD9EF}"/>
            </a:ext>
          </a:extLst>
        </xdr:cNvPr>
        <xdr:cNvSpPr/>
      </xdr:nvSpPr>
      <xdr:spPr>
        <a:xfrm>
          <a:off x="114300" y="1517650"/>
          <a:ext cx="1008000" cy="360000"/>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107950</xdr:colOff>
      <xdr:row>9</xdr:row>
      <xdr:rowOff>187325</xdr:rowOff>
    </xdr:from>
    <xdr:to>
      <xdr:col>0</xdr:col>
      <xdr:colOff>1115950</xdr:colOff>
      <xdr:row>11</xdr:row>
      <xdr:rowOff>166325</xdr:rowOff>
    </xdr:to>
    <xdr:sp macro="" textlink="">
      <xdr:nvSpPr>
        <xdr:cNvPr id="13" name="Rectangle: Rounded Corners 12">
          <a:extLst>
            <a:ext uri="{FF2B5EF4-FFF2-40B4-BE49-F238E27FC236}">
              <a16:creationId xmlns:a16="http://schemas.microsoft.com/office/drawing/2014/main" id="{87FA176B-4FB6-4216-9E6B-18ED1933AA12}"/>
            </a:ext>
          </a:extLst>
        </xdr:cNvPr>
        <xdr:cNvSpPr/>
      </xdr:nvSpPr>
      <xdr:spPr>
        <a:xfrm>
          <a:off x="107950" y="2006600"/>
          <a:ext cx="1008000" cy="360000"/>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endParaRPr>
        </a:p>
      </xdr:txBody>
    </xdr:sp>
    <xdr:clientData/>
  </xdr:twoCellAnchor>
  <xdr:twoCellAnchor>
    <xdr:from>
      <xdr:col>0</xdr:col>
      <xdr:colOff>219075</xdr:colOff>
      <xdr:row>7</xdr:row>
      <xdr:rowOff>109537</xdr:rowOff>
    </xdr:from>
    <xdr:to>
      <xdr:col>0</xdr:col>
      <xdr:colOff>971550</xdr:colOff>
      <xdr:row>8</xdr:row>
      <xdr:rowOff>171450</xdr:rowOff>
    </xdr:to>
    <xdr:sp macro="" textlink="">
      <xdr:nvSpPr>
        <xdr:cNvPr id="15" name="TextBox 14">
          <a:hlinkClick xmlns:r="http://schemas.openxmlformats.org/officeDocument/2006/relationships" r:id="rId2"/>
          <a:extLst>
            <a:ext uri="{FF2B5EF4-FFF2-40B4-BE49-F238E27FC236}">
              <a16:creationId xmlns:a16="http://schemas.microsoft.com/office/drawing/2014/main" id="{80F02010-25C6-4F3A-ACA1-2E94053B1B52}"/>
            </a:ext>
          </a:extLst>
        </xdr:cNvPr>
        <xdr:cNvSpPr txBox="1"/>
      </xdr:nvSpPr>
      <xdr:spPr>
        <a:xfrm>
          <a:off x="219075" y="1547812"/>
          <a:ext cx="752475" cy="252413"/>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cap="none" spc="0">
              <a:ln w="0"/>
              <a:solidFill>
                <a:schemeClr val="tx1"/>
              </a:solidFill>
              <a:effectLst>
                <a:outerShdw blurRad="38100" dist="19050" dir="2700000" algn="tl" rotWithShape="0">
                  <a:schemeClr val="dk1">
                    <a:alpha val="40000"/>
                  </a:schemeClr>
                </a:outerShdw>
              </a:effectLst>
            </a:rPr>
            <a:t>Dataset</a:t>
          </a:r>
          <a:endParaRPr lang="en-GB" sz="1100"/>
        </a:p>
      </xdr:txBody>
    </xdr:sp>
    <xdr:clientData/>
  </xdr:twoCellAnchor>
  <xdr:twoCellAnchor>
    <xdr:from>
      <xdr:col>0</xdr:col>
      <xdr:colOff>209551</xdr:colOff>
      <xdr:row>10</xdr:row>
      <xdr:rowOff>28574</xdr:rowOff>
    </xdr:from>
    <xdr:to>
      <xdr:col>0</xdr:col>
      <xdr:colOff>971551</xdr:colOff>
      <xdr:row>11</xdr:row>
      <xdr:rowOff>76199</xdr:rowOff>
    </xdr:to>
    <xdr:sp macro="" textlink="">
      <xdr:nvSpPr>
        <xdr:cNvPr id="17" name="TextBox 16">
          <a:hlinkClick xmlns:r="http://schemas.openxmlformats.org/officeDocument/2006/relationships" r:id="rId3"/>
          <a:extLst>
            <a:ext uri="{FF2B5EF4-FFF2-40B4-BE49-F238E27FC236}">
              <a16:creationId xmlns:a16="http://schemas.microsoft.com/office/drawing/2014/main" id="{2D407B83-1C7F-4A17-BB60-44DFDD2FB32C}"/>
            </a:ext>
          </a:extLst>
        </xdr:cNvPr>
        <xdr:cNvSpPr txBox="1"/>
      </xdr:nvSpPr>
      <xdr:spPr>
        <a:xfrm>
          <a:off x="209551" y="2038349"/>
          <a:ext cx="762000" cy="238125"/>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cap="none" spc="0">
              <a:ln w="0"/>
              <a:solidFill>
                <a:schemeClr val="tx1"/>
              </a:solidFill>
              <a:effectLst>
                <a:outerShdw blurRad="38100" dist="19050" dir="2700000" algn="tl" rotWithShape="0">
                  <a:schemeClr val="dk1">
                    <a:alpha val="40000"/>
                  </a:schemeClr>
                </a:outerShdw>
              </a:effectLst>
            </a:rPr>
            <a:t>Analysis</a:t>
          </a:r>
          <a:endParaRPr lang="en-GB" sz="1100"/>
        </a:p>
      </xdr:txBody>
    </xdr:sp>
    <xdr:clientData/>
  </xdr:twoCellAnchor>
  <xdr:twoCellAnchor>
    <xdr:from>
      <xdr:col>0</xdr:col>
      <xdr:colOff>111125</xdr:colOff>
      <xdr:row>12</xdr:row>
      <xdr:rowOff>66675</xdr:rowOff>
    </xdr:from>
    <xdr:to>
      <xdr:col>0</xdr:col>
      <xdr:colOff>1119125</xdr:colOff>
      <xdr:row>14</xdr:row>
      <xdr:rowOff>45675</xdr:rowOff>
    </xdr:to>
    <xdr:sp macro="" textlink="">
      <xdr:nvSpPr>
        <xdr:cNvPr id="18" name="Rectangle: Rounded Corners 17">
          <a:extLst>
            <a:ext uri="{FF2B5EF4-FFF2-40B4-BE49-F238E27FC236}">
              <a16:creationId xmlns:a16="http://schemas.microsoft.com/office/drawing/2014/main" id="{6AC33040-660F-48F7-94B7-83FD38F440AA}"/>
            </a:ext>
          </a:extLst>
        </xdr:cNvPr>
        <xdr:cNvSpPr/>
      </xdr:nvSpPr>
      <xdr:spPr>
        <a:xfrm>
          <a:off x="111125" y="2457450"/>
          <a:ext cx="1008000" cy="360000"/>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219075</xdr:colOff>
      <xdr:row>12</xdr:row>
      <xdr:rowOff>119062</xdr:rowOff>
    </xdr:from>
    <xdr:to>
      <xdr:col>0</xdr:col>
      <xdr:colOff>971550</xdr:colOff>
      <xdr:row>13</xdr:row>
      <xdr:rowOff>180975</xdr:rowOff>
    </xdr:to>
    <xdr:sp macro="" textlink="">
      <xdr:nvSpPr>
        <xdr:cNvPr id="19" name="TextBox 18">
          <a:extLst>
            <a:ext uri="{FF2B5EF4-FFF2-40B4-BE49-F238E27FC236}">
              <a16:creationId xmlns:a16="http://schemas.microsoft.com/office/drawing/2014/main" id="{53C6080F-894B-487B-91D4-8EBE7AA9F8C1}"/>
            </a:ext>
          </a:extLst>
        </xdr:cNvPr>
        <xdr:cNvSpPr txBox="1"/>
      </xdr:nvSpPr>
      <xdr:spPr>
        <a:xfrm>
          <a:off x="219075" y="2509837"/>
          <a:ext cx="752475" cy="252413"/>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cap="none" spc="0">
              <a:ln w="0"/>
              <a:solidFill>
                <a:schemeClr val="tx1"/>
              </a:solidFill>
              <a:effectLst>
                <a:outerShdw blurRad="38100" dist="19050" dir="2700000" algn="tl" rotWithShape="0">
                  <a:schemeClr val="dk1">
                    <a:alpha val="40000"/>
                  </a:schemeClr>
                </a:outerShdw>
              </a:effectLst>
            </a:rPr>
            <a:t>Contact</a:t>
          </a:r>
          <a:endParaRPr lang="en-GB" sz="1100"/>
        </a:p>
      </xdr:txBody>
    </xdr:sp>
    <xdr:clientData/>
  </xdr:twoCellAnchor>
  <xdr:twoCellAnchor>
    <xdr:from>
      <xdr:col>7</xdr:col>
      <xdr:colOff>200025</xdr:colOff>
      <xdr:row>3</xdr:row>
      <xdr:rowOff>47625</xdr:rowOff>
    </xdr:from>
    <xdr:to>
      <xdr:col>9</xdr:col>
      <xdr:colOff>19050</xdr:colOff>
      <xdr:row>6</xdr:row>
      <xdr:rowOff>171450</xdr:rowOff>
    </xdr:to>
    <xdr:sp macro="" textlink="">
      <xdr:nvSpPr>
        <xdr:cNvPr id="20" name="Rectangle: Rounded Corners 19">
          <a:extLst>
            <a:ext uri="{FF2B5EF4-FFF2-40B4-BE49-F238E27FC236}">
              <a16:creationId xmlns:a16="http://schemas.microsoft.com/office/drawing/2014/main" id="{E3A5E72E-2E52-4EC4-997E-CBB98B91484A}"/>
            </a:ext>
          </a:extLst>
        </xdr:cNvPr>
        <xdr:cNvSpPr/>
      </xdr:nvSpPr>
      <xdr:spPr>
        <a:xfrm>
          <a:off x="5162550" y="619125"/>
          <a:ext cx="1038225" cy="695325"/>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57150</xdr:colOff>
      <xdr:row>3</xdr:row>
      <xdr:rowOff>47625</xdr:rowOff>
    </xdr:from>
    <xdr:to>
      <xdr:col>11</xdr:col>
      <xdr:colOff>276225</xdr:colOff>
      <xdr:row>6</xdr:row>
      <xdr:rowOff>200025</xdr:rowOff>
    </xdr:to>
    <xdr:sp macro="" textlink="">
      <xdr:nvSpPr>
        <xdr:cNvPr id="21" name="Rectangle: Rounded Corners 20">
          <a:extLst>
            <a:ext uri="{FF2B5EF4-FFF2-40B4-BE49-F238E27FC236}">
              <a16:creationId xmlns:a16="http://schemas.microsoft.com/office/drawing/2014/main" id="{D4EF3AFB-6779-418D-AA22-841EE461BD3C}"/>
            </a:ext>
          </a:extLst>
        </xdr:cNvPr>
        <xdr:cNvSpPr/>
      </xdr:nvSpPr>
      <xdr:spPr>
        <a:xfrm>
          <a:off x="6238875" y="619125"/>
          <a:ext cx="1438275" cy="723900"/>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314323</xdr:colOff>
      <xdr:row>3</xdr:row>
      <xdr:rowOff>47625</xdr:rowOff>
    </xdr:from>
    <xdr:to>
      <xdr:col>14</xdr:col>
      <xdr:colOff>28574</xdr:colOff>
      <xdr:row>6</xdr:row>
      <xdr:rowOff>209550</xdr:rowOff>
    </xdr:to>
    <xdr:sp macro="" textlink="">
      <xdr:nvSpPr>
        <xdr:cNvPr id="22" name="Rectangle: Rounded Corners 21">
          <a:extLst>
            <a:ext uri="{FF2B5EF4-FFF2-40B4-BE49-F238E27FC236}">
              <a16:creationId xmlns:a16="http://schemas.microsoft.com/office/drawing/2014/main" id="{28DD7ABC-500E-489A-B3F2-BF1604382AD7}"/>
            </a:ext>
          </a:extLst>
        </xdr:cNvPr>
        <xdr:cNvSpPr/>
      </xdr:nvSpPr>
      <xdr:spPr>
        <a:xfrm>
          <a:off x="7715248" y="619125"/>
          <a:ext cx="1543051" cy="733425"/>
        </a:xfrm>
        <a:prstGeom prst="roundRect">
          <a:avLst/>
        </a:prstGeom>
        <a:solidFill>
          <a:schemeClr val="accent4"/>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66673</xdr:colOff>
      <xdr:row>3</xdr:row>
      <xdr:rowOff>119062</xdr:rowOff>
    </xdr:from>
    <xdr:to>
      <xdr:col>2</xdr:col>
      <xdr:colOff>495298</xdr:colOff>
      <xdr:row>4</xdr:row>
      <xdr:rowOff>152400</xdr:rowOff>
    </xdr:to>
    <xdr:sp macro="" textlink="">
      <xdr:nvSpPr>
        <xdr:cNvPr id="23" name="TextBox 22">
          <a:extLst>
            <a:ext uri="{FF2B5EF4-FFF2-40B4-BE49-F238E27FC236}">
              <a16:creationId xmlns:a16="http://schemas.microsoft.com/office/drawing/2014/main" id="{97824C50-0AE3-4205-A09F-03CE4D436685}"/>
            </a:ext>
          </a:extLst>
        </xdr:cNvPr>
        <xdr:cNvSpPr txBox="1"/>
      </xdr:nvSpPr>
      <xdr:spPr>
        <a:xfrm rot="10800000" flipV="1">
          <a:off x="1371598" y="690562"/>
          <a:ext cx="1038225" cy="223838"/>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t>Total </a:t>
          </a:r>
          <a:r>
            <a:rPr lang="en-GB" sz="1050" b="1">
              <a:ln>
                <a:noFill/>
              </a:ln>
            </a:rPr>
            <a:t>Revenue</a:t>
          </a:r>
        </a:p>
      </xdr:txBody>
    </xdr:sp>
    <xdr:clientData/>
  </xdr:twoCellAnchor>
  <xdr:twoCellAnchor>
    <xdr:from>
      <xdr:col>3</xdr:col>
      <xdr:colOff>47625</xdr:colOff>
      <xdr:row>3</xdr:row>
      <xdr:rowOff>95251</xdr:rowOff>
    </xdr:from>
    <xdr:to>
      <xdr:col>5</xdr:col>
      <xdr:colOff>104775</xdr:colOff>
      <xdr:row>4</xdr:row>
      <xdr:rowOff>161925</xdr:rowOff>
    </xdr:to>
    <xdr:sp macro="" textlink="">
      <xdr:nvSpPr>
        <xdr:cNvPr id="24" name="TextBox 23">
          <a:extLst>
            <a:ext uri="{FF2B5EF4-FFF2-40B4-BE49-F238E27FC236}">
              <a16:creationId xmlns:a16="http://schemas.microsoft.com/office/drawing/2014/main" id="{E738B514-CEC4-4FF2-B4C6-A1AD5EFAE5BD}"/>
            </a:ext>
          </a:extLst>
        </xdr:cNvPr>
        <xdr:cNvSpPr txBox="1"/>
      </xdr:nvSpPr>
      <xdr:spPr>
        <a:xfrm rot="10800000" flipV="1">
          <a:off x="2571750" y="666751"/>
          <a:ext cx="1276350" cy="257174"/>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ln>
                <a:noFill/>
              </a:ln>
            </a:rPr>
            <a:t>Total Quantity Sold</a:t>
          </a:r>
        </a:p>
      </xdr:txBody>
    </xdr:sp>
    <xdr:clientData/>
  </xdr:twoCellAnchor>
  <xdr:twoCellAnchor>
    <xdr:from>
      <xdr:col>5</xdr:col>
      <xdr:colOff>276224</xdr:colOff>
      <xdr:row>3</xdr:row>
      <xdr:rowOff>76201</xdr:rowOff>
    </xdr:from>
    <xdr:to>
      <xdr:col>7</xdr:col>
      <xdr:colOff>114298</xdr:colOff>
      <xdr:row>4</xdr:row>
      <xdr:rowOff>133350</xdr:rowOff>
    </xdr:to>
    <xdr:sp macro="" textlink="">
      <xdr:nvSpPr>
        <xdr:cNvPr id="25" name="TextBox 24">
          <a:extLst>
            <a:ext uri="{FF2B5EF4-FFF2-40B4-BE49-F238E27FC236}">
              <a16:creationId xmlns:a16="http://schemas.microsoft.com/office/drawing/2014/main" id="{26B17121-F454-4C78-82BC-BC97C6BEECC4}"/>
            </a:ext>
          </a:extLst>
        </xdr:cNvPr>
        <xdr:cNvSpPr txBox="1"/>
      </xdr:nvSpPr>
      <xdr:spPr>
        <a:xfrm rot="10800000" flipV="1">
          <a:off x="4019549" y="647701"/>
          <a:ext cx="1057274" cy="247649"/>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cap="none" spc="0">
              <a:ln w="0"/>
              <a:solidFill>
                <a:schemeClr val="tx1"/>
              </a:solidFill>
              <a:effectLst>
                <a:outerShdw blurRad="38100" dist="19050" dir="2700000" algn="tl" rotWithShape="0">
                  <a:schemeClr val="dk1">
                    <a:alpha val="40000"/>
                  </a:schemeClr>
                </a:outerShdw>
              </a:effectLst>
            </a:rPr>
            <a:t>Total Customer</a:t>
          </a:r>
        </a:p>
      </xdr:txBody>
    </xdr:sp>
    <xdr:clientData/>
  </xdr:twoCellAnchor>
  <xdr:twoCellAnchor>
    <xdr:from>
      <xdr:col>7</xdr:col>
      <xdr:colOff>247650</xdr:colOff>
      <xdr:row>3</xdr:row>
      <xdr:rowOff>104776</xdr:rowOff>
    </xdr:from>
    <xdr:to>
      <xdr:col>8</xdr:col>
      <xdr:colOff>495300</xdr:colOff>
      <xdr:row>4</xdr:row>
      <xdr:rowOff>161925</xdr:rowOff>
    </xdr:to>
    <xdr:sp macro="" textlink="">
      <xdr:nvSpPr>
        <xdr:cNvPr id="26" name="TextBox 25">
          <a:extLst>
            <a:ext uri="{FF2B5EF4-FFF2-40B4-BE49-F238E27FC236}">
              <a16:creationId xmlns:a16="http://schemas.microsoft.com/office/drawing/2014/main" id="{BE0B8FAA-83B1-4B02-BEDB-987E87460814}"/>
            </a:ext>
          </a:extLst>
        </xdr:cNvPr>
        <xdr:cNvSpPr txBox="1"/>
      </xdr:nvSpPr>
      <xdr:spPr>
        <a:xfrm rot="10800000" flipV="1">
          <a:off x="5210175" y="676276"/>
          <a:ext cx="857250" cy="247649"/>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0" cap="none" spc="0">
              <a:ln w="0"/>
              <a:solidFill>
                <a:schemeClr val="tx1"/>
              </a:solidFill>
              <a:effectLst>
                <a:outerShdw blurRad="38100" dist="19050" dir="2700000" algn="tl" rotWithShape="0">
                  <a:schemeClr val="dk1">
                    <a:alpha val="40000"/>
                  </a:schemeClr>
                </a:outerShdw>
              </a:effectLst>
            </a:rPr>
            <a:t>Total Order</a:t>
          </a:r>
        </a:p>
      </xdr:txBody>
    </xdr:sp>
    <xdr:clientData/>
  </xdr:twoCellAnchor>
  <xdr:twoCellAnchor>
    <xdr:from>
      <xdr:col>9</xdr:col>
      <xdr:colOff>104772</xdr:colOff>
      <xdr:row>3</xdr:row>
      <xdr:rowOff>104776</xdr:rowOff>
    </xdr:from>
    <xdr:to>
      <xdr:col>11</xdr:col>
      <xdr:colOff>228599</xdr:colOff>
      <xdr:row>4</xdr:row>
      <xdr:rowOff>152400</xdr:rowOff>
    </xdr:to>
    <xdr:sp macro="" textlink="">
      <xdr:nvSpPr>
        <xdr:cNvPr id="27" name="TextBox 26">
          <a:extLst>
            <a:ext uri="{FF2B5EF4-FFF2-40B4-BE49-F238E27FC236}">
              <a16:creationId xmlns:a16="http://schemas.microsoft.com/office/drawing/2014/main" id="{69B7B2A9-CACA-4999-850A-1AB078A8EDCD}"/>
            </a:ext>
          </a:extLst>
        </xdr:cNvPr>
        <xdr:cNvSpPr txBox="1"/>
      </xdr:nvSpPr>
      <xdr:spPr>
        <a:xfrm rot="10800000" flipV="1">
          <a:off x="6286497" y="676276"/>
          <a:ext cx="1343027" cy="238124"/>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ln>
                <a:noFill/>
              </a:ln>
            </a:rPr>
            <a:t>Average Order Value</a:t>
          </a:r>
        </a:p>
      </xdr:txBody>
    </xdr:sp>
    <xdr:clientData/>
  </xdr:twoCellAnchor>
  <xdr:twoCellAnchor>
    <xdr:from>
      <xdr:col>11</xdr:col>
      <xdr:colOff>314324</xdr:colOff>
      <xdr:row>3</xdr:row>
      <xdr:rowOff>104776</xdr:rowOff>
    </xdr:from>
    <xdr:to>
      <xdr:col>13</xdr:col>
      <xdr:colOff>552449</xdr:colOff>
      <xdr:row>4</xdr:row>
      <xdr:rowOff>152400</xdr:rowOff>
    </xdr:to>
    <xdr:sp macro="" textlink="">
      <xdr:nvSpPr>
        <xdr:cNvPr id="28" name="TextBox 27">
          <a:extLst>
            <a:ext uri="{FF2B5EF4-FFF2-40B4-BE49-F238E27FC236}">
              <a16:creationId xmlns:a16="http://schemas.microsoft.com/office/drawing/2014/main" id="{A8259269-CF87-419C-A513-50FBCD7109B2}"/>
            </a:ext>
          </a:extLst>
        </xdr:cNvPr>
        <xdr:cNvSpPr txBox="1"/>
      </xdr:nvSpPr>
      <xdr:spPr>
        <a:xfrm rot="10800000" flipV="1">
          <a:off x="7715249" y="676276"/>
          <a:ext cx="1457325" cy="238124"/>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ln>
                <a:noFill/>
              </a:ln>
            </a:rPr>
            <a:t>Average delivery Time</a:t>
          </a:r>
        </a:p>
      </xdr:txBody>
    </xdr:sp>
    <xdr:clientData/>
  </xdr:twoCellAnchor>
  <xdr:twoCellAnchor>
    <xdr:from>
      <xdr:col>1</xdr:col>
      <xdr:colOff>66673</xdr:colOff>
      <xdr:row>4</xdr:row>
      <xdr:rowOff>180776</xdr:rowOff>
    </xdr:from>
    <xdr:to>
      <xdr:col>2</xdr:col>
      <xdr:colOff>581024</xdr:colOff>
      <xdr:row>6</xdr:row>
      <xdr:rowOff>152600</xdr:rowOff>
    </xdr:to>
    <xdr:sp macro="" textlink="Analysis!R5">
      <xdr:nvSpPr>
        <xdr:cNvPr id="29" name="TextBox 28">
          <a:extLst>
            <a:ext uri="{FF2B5EF4-FFF2-40B4-BE49-F238E27FC236}">
              <a16:creationId xmlns:a16="http://schemas.microsoft.com/office/drawing/2014/main" id="{95782406-49E5-42F1-8035-BDC1E5F1FF71}"/>
            </a:ext>
          </a:extLst>
        </xdr:cNvPr>
        <xdr:cNvSpPr txBox="1"/>
      </xdr:nvSpPr>
      <xdr:spPr>
        <a:xfrm rot="10800000" flipV="1">
          <a:off x="1371598" y="942776"/>
          <a:ext cx="1123951" cy="352824"/>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AC2C09-2FC3-46BF-A917-EA9B37499885}" type="TxLink">
            <a:rPr lang="en-US" sz="1600" b="1" i="0" u="none" strike="noStrike">
              <a:ln>
                <a:noFill/>
              </a:ln>
              <a:solidFill>
                <a:schemeClr val="bg1"/>
              </a:solidFill>
              <a:latin typeface="Calibri"/>
              <a:cs typeface="Calibri"/>
            </a:rPr>
            <a:pPr/>
            <a:t>$70,244.08</a:t>
          </a:fld>
          <a:endParaRPr lang="en-GB" sz="1400" b="1">
            <a:ln>
              <a:noFill/>
            </a:ln>
            <a:solidFill>
              <a:schemeClr val="bg1"/>
            </a:solidFill>
          </a:endParaRPr>
        </a:p>
      </xdr:txBody>
    </xdr:sp>
    <xdr:clientData/>
  </xdr:twoCellAnchor>
  <xdr:twoCellAnchor>
    <xdr:from>
      <xdr:col>3</xdr:col>
      <xdr:colOff>57150</xdr:colOff>
      <xdr:row>4</xdr:row>
      <xdr:rowOff>180776</xdr:rowOff>
    </xdr:from>
    <xdr:to>
      <xdr:col>5</xdr:col>
      <xdr:colOff>104774</xdr:colOff>
      <xdr:row>6</xdr:row>
      <xdr:rowOff>152600</xdr:rowOff>
    </xdr:to>
    <xdr:sp macro="" textlink="Analysis!R8">
      <xdr:nvSpPr>
        <xdr:cNvPr id="30" name="TextBox 29">
          <a:extLst>
            <a:ext uri="{FF2B5EF4-FFF2-40B4-BE49-F238E27FC236}">
              <a16:creationId xmlns:a16="http://schemas.microsoft.com/office/drawing/2014/main" id="{2731C0E5-715A-4D3D-98BE-7C0B51C6E928}"/>
            </a:ext>
          </a:extLst>
        </xdr:cNvPr>
        <xdr:cNvSpPr txBox="1"/>
      </xdr:nvSpPr>
      <xdr:spPr>
        <a:xfrm rot="10800000" flipV="1">
          <a:off x="2581275" y="942776"/>
          <a:ext cx="1266824" cy="352824"/>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651FA8-0360-4018-82D3-1E70EA8A8D61}" type="TxLink">
            <a:rPr lang="en-US" sz="1400" b="1" i="0" u="none" strike="noStrike">
              <a:ln>
                <a:noFill/>
              </a:ln>
              <a:solidFill>
                <a:schemeClr val="bg1"/>
              </a:solidFill>
              <a:latin typeface="Calibri"/>
              <a:cs typeface="Calibri"/>
            </a:rPr>
            <a:pPr algn="ctr"/>
            <a:t>4021</a:t>
          </a:fld>
          <a:endParaRPr lang="en-GB" sz="2400" b="1">
            <a:ln>
              <a:noFill/>
            </a:ln>
            <a:solidFill>
              <a:schemeClr val="bg1"/>
            </a:solidFill>
          </a:endParaRPr>
        </a:p>
      </xdr:txBody>
    </xdr:sp>
    <xdr:clientData/>
  </xdr:twoCellAnchor>
  <xdr:twoCellAnchor>
    <xdr:from>
      <xdr:col>5</xdr:col>
      <xdr:colOff>295274</xdr:colOff>
      <xdr:row>4</xdr:row>
      <xdr:rowOff>180776</xdr:rowOff>
    </xdr:from>
    <xdr:to>
      <xdr:col>7</xdr:col>
      <xdr:colOff>123823</xdr:colOff>
      <xdr:row>6</xdr:row>
      <xdr:rowOff>152600</xdr:rowOff>
    </xdr:to>
    <xdr:sp macro="" textlink="Analysis!W8">
      <xdr:nvSpPr>
        <xdr:cNvPr id="31" name="TextBox 30">
          <a:extLst>
            <a:ext uri="{FF2B5EF4-FFF2-40B4-BE49-F238E27FC236}">
              <a16:creationId xmlns:a16="http://schemas.microsoft.com/office/drawing/2014/main" id="{252BE2DE-EB55-4B88-8E5D-D1AA2DAF3EB6}"/>
            </a:ext>
          </a:extLst>
        </xdr:cNvPr>
        <xdr:cNvSpPr txBox="1"/>
      </xdr:nvSpPr>
      <xdr:spPr>
        <a:xfrm rot="10800000" flipV="1">
          <a:off x="4038599" y="942776"/>
          <a:ext cx="1047749" cy="352824"/>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1585088-0203-40FB-ABDC-4EAAFA7EA411}" type="TxLink">
            <a:rPr lang="en-US" sz="1400" b="1" i="0" u="none" strike="noStrike">
              <a:ln>
                <a:noFill/>
              </a:ln>
              <a:solidFill>
                <a:schemeClr val="bg1"/>
              </a:solidFill>
              <a:latin typeface="Calibri"/>
              <a:cs typeface="Calibri"/>
            </a:rPr>
            <a:pPr algn="ctr"/>
            <a:t>65</a:t>
          </a:fld>
          <a:endParaRPr lang="en-GB" sz="1800" b="1">
            <a:ln>
              <a:noFill/>
            </a:ln>
            <a:solidFill>
              <a:schemeClr val="bg1"/>
            </a:solidFill>
          </a:endParaRPr>
        </a:p>
      </xdr:txBody>
    </xdr:sp>
    <xdr:clientData/>
  </xdr:twoCellAnchor>
  <xdr:twoCellAnchor>
    <xdr:from>
      <xdr:col>7</xdr:col>
      <xdr:colOff>266699</xdr:colOff>
      <xdr:row>4</xdr:row>
      <xdr:rowOff>180776</xdr:rowOff>
    </xdr:from>
    <xdr:to>
      <xdr:col>8</xdr:col>
      <xdr:colOff>485772</xdr:colOff>
      <xdr:row>6</xdr:row>
      <xdr:rowOff>152600</xdr:rowOff>
    </xdr:to>
    <xdr:sp macro="" textlink="Analysis!R11">
      <xdr:nvSpPr>
        <xdr:cNvPr id="32" name="TextBox 31">
          <a:extLst>
            <a:ext uri="{FF2B5EF4-FFF2-40B4-BE49-F238E27FC236}">
              <a16:creationId xmlns:a16="http://schemas.microsoft.com/office/drawing/2014/main" id="{10B6A624-35F6-4B97-88FA-DF9277131971}"/>
            </a:ext>
          </a:extLst>
        </xdr:cNvPr>
        <xdr:cNvSpPr txBox="1"/>
      </xdr:nvSpPr>
      <xdr:spPr>
        <a:xfrm rot="10800000" flipV="1">
          <a:off x="5229224" y="942776"/>
          <a:ext cx="828673" cy="352824"/>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2207BC-6D72-4475-B00B-AD516C995735}" type="TxLink">
            <a:rPr lang="en-US" sz="1600" b="1" i="0" u="none" strike="noStrike">
              <a:ln>
                <a:noFill/>
              </a:ln>
              <a:solidFill>
                <a:schemeClr val="bg1"/>
              </a:solidFill>
              <a:latin typeface="Calibri"/>
              <a:cs typeface="Calibri"/>
            </a:rPr>
            <a:pPr algn="ctr"/>
            <a:t>65</a:t>
          </a:fld>
          <a:endParaRPr lang="en-GB" sz="2000" b="1">
            <a:ln>
              <a:noFill/>
            </a:ln>
            <a:solidFill>
              <a:schemeClr val="bg1"/>
            </a:solidFill>
          </a:endParaRPr>
        </a:p>
      </xdr:txBody>
    </xdr:sp>
    <xdr:clientData/>
  </xdr:twoCellAnchor>
  <xdr:twoCellAnchor>
    <xdr:from>
      <xdr:col>9</xdr:col>
      <xdr:colOff>114299</xdr:colOff>
      <xdr:row>4</xdr:row>
      <xdr:rowOff>180776</xdr:rowOff>
    </xdr:from>
    <xdr:to>
      <xdr:col>11</xdr:col>
      <xdr:colOff>219074</xdr:colOff>
      <xdr:row>6</xdr:row>
      <xdr:rowOff>152600</xdr:rowOff>
    </xdr:to>
    <xdr:sp macro="" textlink="Analysis!U5">
      <xdr:nvSpPr>
        <xdr:cNvPr id="33" name="TextBox 32">
          <a:extLst>
            <a:ext uri="{FF2B5EF4-FFF2-40B4-BE49-F238E27FC236}">
              <a16:creationId xmlns:a16="http://schemas.microsoft.com/office/drawing/2014/main" id="{530FA894-A11A-4FD4-8340-856AFF32AA2B}"/>
            </a:ext>
          </a:extLst>
        </xdr:cNvPr>
        <xdr:cNvSpPr txBox="1"/>
      </xdr:nvSpPr>
      <xdr:spPr>
        <a:xfrm rot="10800000" flipV="1">
          <a:off x="6296024" y="942776"/>
          <a:ext cx="1323975" cy="352824"/>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1904CD8-327F-4B9C-AE26-5A836204FE05}" type="TxLink">
            <a:rPr lang="en-US" sz="1400" b="1" i="0" u="none" strike="noStrike">
              <a:ln>
                <a:noFill/>
              </a:ln>
              <a:solidFill>
                <a:schemeClr val="bg1"/>
              </a:solidFill>
              <a:latin typeface="Calibri"/>
              <a:cs typeface="Calibri"/>
            </a:rPr>
            <a:pPr algn="ctr"/>
            <a:t>1080.68</a:t>
          </a:fld>
          <a:endParaRPr lang="en-GB" sz="2400" b="1">
            <a:ln>
              <a:noFill/>
            </a:ln>
            <a:solidFill>
              <a:schemeClr val="bg1"/>
            </a:solidFill>
          </a:endParaRPr>
        </a:p>
      </xdr:txBody>
    </xdr:sp>
    <xdr:clientData/>
  </xdr:twoCellAnchor>
  <xdr:twoCellAnchor>
    <xdr:from>
      <xdr:col>11</xdr:col>
      <xdr:colOff>333375</xdr:colOff>
      <xdr:row>4</xdr:row>
      <xdr:rowOff>180776</xdr:rowOff>
    </xdr:from>
    <xdr:to>
      <xdr:col>13</xdr:col>
      <xdr:colOff>552449</xdr:colOff>
      <xdr:row>6</xdr:row>
      <xdr:rowOff>152600</xdr:rowOff>
    </xdr:to>
    <xdr:sp macro="" textlink="Analysis!U14">
      <xdr:nvSpPr>
        <xdr:cNvPr id="34" name="TextBox 33">
          <a:extLst>
            <a:ext uri="{FF2B5EF4-FFF2-40B4-BE49-F238E27FC236}">
              <a16:creationId xmlns:a16="http://schemas.microsoft.com/office/drawing/2014/main" id="{9CD05A27-050B-45A1-B074-2702DD02A3ED}"/>
            </a:ext>
          </a:extLst>
        </xdr:cNvPr>
        <xdr:cNvSpPr txBox="1"/>
      </xdr:nvSpPr>
      <xdr:spPr>
        <a:xfrm rot="10800000" flipV="1">
          <a:off x="7734300" y="942776"/>
          <a:ext cx="1438274" cy="352824"/>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ln>
                <a:noFill/>
              </a:ln>
              <a:solidFill>
                <a:schemeClr val="bg1"/>
              </a:solidFill>
              <a:latin typeface="Calibri"/>
              <a:cs typeface="Calibri"/>
            </a:rPr>
            <a:t>          </a:t>
          </a:r>
          <a:fld id="{57626DFE-B07A-43F4-A4A9-587BD4C090A8}" type="TxLink">
            <a:rPr lang="en-US" sz="1600" b="1" i="0" u="none" strike="noStrike">
              <a:ln>
                <a:noFill/>
              </a:ln>
              <a:solidFill>
                <a:schemeClr val="bg1"/>
              </a:solidFill>
              <a:latin typeface="Calibri"/>
              <a:cs typeface="Calibri"/>
            </a:rPr>
            <a:pPr/>
            <a:t>2.31</a:t>
          </a:fld>
          <a:endParaRPr lang="en-GB" sz="1400" b="1">
            <a:ln>
              <a:noFill/>
            </a:ln>
            <a:solidFill>
              <a:schemeClr val="bg1"/>
            </a:solidFill>
          </a:endParaRPr>
        </a:p>
      </xdr:txBody>
    </xdr:sp>
    <xdr:clientData/>
  </xdr:twoCellAnchor>
  <xdr:twoCellAnchor>
    <xdr:from>
      <xdr:col>1</xdr:col>
      <xdr:colOff>57150</xdr:colOff>
      <xdr:row>6</xdr:row>
      <xdr:rowOff>266700</xdr:rowOff>
    </xdr:from>
    <xdr:to>
      <xdr:col>7</xdr:col>
      <xdr:colOff>95250</xdr:colOff>
      <xdr:row>21</xdr:row>
      <xdr:rowOff>161925</xdr:rowOff>
    </xdr:to>
    <xdr:graphicFrame macro="">
      <xdr:nvGraphicFramePr>
        <xdr:cNvPr id="35" name="Chart 34">
          <a:extLst>
            <a:ext uri="{FF2B5EF4-FFF2-40B4-BE49-F238E27FC236}">
              <a16:creationId xmlns:a16="http://schemas.microsoft.com/office/drawing/2014/main" id="{A3631561-08F0-45C6-AC62-C2F7A198F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171451</xdr:colOff>
      <xdr:row>7</xdr:row>
      <xdr:rowOff>76200</xdr:rowOff>
    </xdr:from>
    <xdr:to>
      <xdr:col>11</xdr:col>
      <xdr:colOff>47627</xdr:colOff>
      <xdr:row>21</xdr:row>
      <xdr:rowOff>114300</xdr:rowOff>
    </xdr:to>
    <xdr:graphicFrame macro="">
      <xdr:nvGraphicFramePr>
        <xdr:cNvPr id="37" name="Chart 36">
          <a:extLst>
            <a:ext uri="{FF2B5EF4-FFF2-40B4-BE49-F238E27FC236}">
              <a16:creationId xmlns:a16="http://schemas.microsoft.com/office/drawing/2014/main" id="{BA9AF532-3362-448A-9A5B-4439501B5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504825</xdr:colOff>
      <xdr:row>7</xdr:row>
      <xdr:rowOff>95250</xdr:rowOff>
    </xdr:from>
    <xdr:to>
      <xdr:col>19</xdr:col>
      <xdr:colOff>447675</xdr:colOff>
      <xdr:row>21</xdr:row>
      <xdr:rowOff>85725</xdr:rowOff>
    </xdr:to>
    <xdr:graphicFrame macro="">
      <xdr:nvGraphicFramePr>
        <xdr:cNvPr id="38" name="Chart 37">
          <a:extLst>
            <a:ext uri="{FF2B5EF4-FFF2-40B4-BE49-F238E27FC236}">
              <a16:creationId xmlns:a16="http://schemas.microsoft.com/office/drawing/2014/main" id="{A0B9237D-D594-4805-8AFD-255F0E0F9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61</xdr:col>
      <xdr:colOff>304801</xdr:colOff>
      <xdr:row>1</xdr:row>
      <xdr:rowOff>76199</xdr:rowOff>
    </xdr:from>
    <xdr:ext cx="10868024" cy="3819525"/>
    <xdr:sp macro="" textlink="">
      <xdr:nvSpPr>
        <xdr:cNvPr id="14" name="TextBox 13">
          <a:extLst>
            <a:ext uri="{FF2B5EF4-FFF2-40B4-BE49-F238E27FC236}">
              <a16:creationId xmlns:a16="http://schemas.microsoft.com/office/drawing/2014/main" id="{C40D5BB5-AB4A-4E6F-A574-1BBB4874ABF5}"/>
            </a:ext>
          </a:extLst>
        </xdr:cNvPr>
        <xdr:cNvSpPr txBox="1"/>
      </xdr:nvSpPr>
      <xdr:spPr>
        <a:xfrm>
          <a:off x="38185726" y="266699"/>
          <a:ext cx="10868024" cy="3819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1">
              <a:solidFill>
                <a:schemeClr val="tx1"/>
              </a:solidFill>
              <a:effectLst/>
              <a:latin typeface="+mn-lt"/>
              <a:ea typeface="+mn-ea"/>
              <a:cs typeface="+mn-cs"/>
            </a:rPr>
            <a:t>Sales Questions</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What is total revenue over time?  </a:t>
          </a:r>
          <a:r>
            <a:rPr lang="en-GB" sz="1100" b="1" i="0" u="none" strike="noStrike">
              <a:solidFill>
                <a:schemeClr val="tx1"/>
              </a:solidFill>
              <a:effectLst/>
              <a:latin typeface="+mn-lt"/>
              <a:ea typeface="+mn-ea"/>
              <a:cs typeface="+mn-cs"/>
            </a:rPr>
            <a:t>$70,244.08</a:t>
          </a:r>
          <a:r>
            <a:rPr lang="en-GB"/>
            <a:t> </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Which</a:t>
          </a:r>
          <a:r>
            <a:rPr lang="en-GB" sz="1100" baseline="0">
              <a:solidFill>
                <a:schemeClr val="tx1"/>
              </a:solidFill>
              <a:effectLst/>
              <a:latin typeface="+mn-lt"/>
              <a:ea typeface="+mn-ea"/>
              <a:cs typeface="+mn-cs"/>
            </a:rPr>
            <a:t> day</a:t>
          </a:r>
          <a:r>
            <a:rPr lang="en-GB" sz="1100">
              <a:solidFill>
                <a:schemeClr val="tx1"/>
              </a:solidFill>
              <a:effectLst/>
              <a:latin typeface="+mn-lt"/>
              <a:ea typeface="+mn-ea"/>
              <a:cs typeface="+mn-cs"/>
            </a:rPr>
            <a:t> has the highest sales? </a:t>
          </a:r>
          <a:r>
            <a:rPr lang="en-GB" sz="1100" b="0" i="0" u="none" strike="noStrike">
              <a:solidFill>
                <a:schemeClr val="tx1"/>
              </a:solidFill>
              <a:effectLst/>
              <a:latin typeface="+mn-lt"/>
              <a:ea typeface="+mn-ea"/>
              <a:cs typeface="+mn-cs"/>
            </a:rPr>
            <a:t>Thursday</a:t>
          </a:r>
          <a:r>
            <a:rPr lang="en-GB"/>
            <a:t>   </a:t>
          </a:r>
          <a:r>
            <a:rPr lang="en-GB" sz="1100" b="0" i="0" u="none" strike="noStrike">
              <a:solidFill>
                <a:schemeClr val="tx1"/>
              </a:solidFill>
              <a:effectLst/>
              <a:latin typeface="+mn-lt"/>
              <a:ea typeface="+mn-ea"/>
              <a:cs typeface="+mn-cs"/>
            </a:rPr>
            <a:t>$17,982.92</a:t>
          </a:r>
          <a:r>
            <a:rPr lang="en-GB"/>
            <a:t> </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Which region generates the most revenue? </a:t>
          </a:r>
          <a:r>
            <a:rPr lang="en-GB" sz="1100" b="0" i="0" u="none" strike="noStrike">
              <a:solidFill>
                <a:schemeClr val="tx1"/>
              </a:solidFill>
              <a:effectLst/>
              <a:latin typeface="+mn-lt"/>
              <a:ea typeface="+mn-ea"/>
              <a:cs typeface="+mn-cs"/>
            </a:rPr>
            <a:t>North</a:t>
          </a:r>
          <a:r>
            <a:rPr lang="en-GB"/>
            <a:t>   </a:t>
          </a:r>
          <a:r>
            <a:rPr lang="en-GB" sz="1100" b="0" i="0" u="none" strike="noStrike">
              <a:solidFill>
                <a:schemeClr val="tx1"/>
              </a:solidFill>
              <a:effectLst/>
              <a:latin typeface="+mn-lt"/>
              <a:ea typeface="+mn-ea"/>
              <a:cs typeface="+mn-cs"/>
            </a:rPr>
            <a:t>$27,652.08</a:t>
          </a:r>
          <a:r>
            <a:rPr lang="en-GB"/>
            <a:t> </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Which salesperson performs best? </a:t>
          </a:r>
          <a:r>
            <a:rPr lang="en-GB" sz="1100" b="0" i="0" u="none" strike="noStrike">
              <a:solidFill>
                <a:schemeClr val="tx1"/>
              </a:solidFill>
              <a:effectLst/>
              <a:latin typeface="+mn-lt"/>
              <a:ea typeface="+mn-ea"/>
              <a:cs typeface="+mn-cs"/>
            </a:rPr>
            <a:t>Nancy Freehafer  </a:t>
          </a:r>
          <a:r>
            <a:rPr lang="en-GB"/>
            <a:t> </a:t>
          </a:r>
          <a:r>
            <a:rPr lang="en-GB" sz="1100" b="0" i="0" u="none" strike="noStrike">
              <a:solidFill>
                <a:schemeClr val="tx1"/>
              </a:solidFill>
              <a:effectLst/>
              <a:latin typeface="+mn-lt"/>
              <a:ea typeface="+mn-ea"/>
              <a:cs typeface="+mn-cs"/>
            </a:rPr>
            <a:t>$17,137.58</a:t>
          </a:r>
          <a:r>
            <a:rPr lang="en-GB"/>
            <a:t> </a:t>
          </a:r>
          <a:endParaRPr lang="en-GB" sz="1100">
            <a:solidFill>
              <a:schemeClr val="tx1"/>
            </a:solidFill>
            <a:effectLst/>
            <a:latin typeface="+mn-lt"/>
            <a:ea typeface="+mn-ea"/>
            <a:cs typeface="+mn-cs"/>
          </a:endParaRPr>
        </a:p>
        <a:p>
          <a:r>
            <a:rPr lang="en-GB" sz="1100" b="1">
              <a:solidFill>
                <a:schemeClr val="tx1"/>
              </a:solidFill>
              <a:effectLst/>
              <a:latin typeface="+mn-lt"/>
              <a:ea typeface="+mn-ea"/>
              <a:cs typeface="+mn-cs"/>
            </a:rPr>
            <a:t>Customer Questions</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Which customers generate the most revenue? </a:t>
          </a:r>
          <a:r>
            <a:rPr lang="en-GB" sz="1100" b="0" i="0" u="none" strike="noStrike">
              <a:solidFill>
                <a:schemeClr val="tx1"/>
              </a:solidFill>
              <a:effectLst/>
              <a:latin typeface="+mn-lt"/>
              <a:ea typeface="+mn-ea"/>
              <a:cs typeface="+mn-cs"/>
            </a:rPr>
            <a:t>Company D  </a:t>
          </a:r>
          <a:r>
            <a:rPr lang="en-GB"/>
            <a:t> </a:t>
          </a:r>
          <a:r>
            <a:rPr lang="en-GB" sz="1100" b="0" i="0" u="none" strike="noStrike">
              <a:solidFill>
                <a:schemeClr val="tx1"/>
              </a:solidFill>
              <a:effectLst/>
              <a:latin typeface="+mn-lt"/>
              <a:ea typeface="+mn-ea"/>
              <a:cs typeface="+mn-cs"/>
            </a:rPr>
            <a:t>$12,368.90</a:t>
          </a:r>
          <a:r>
            <a:rPr lang="en-GB"/>
            <a:t> </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Which country/state has the most customers? </a:t>
          </a:r>
          <a:r>
            <a:rPr lang="en-GB" sz="1100" b="0" i="0" u="none" strike="noStrike">
              <a:solidFill>
                <a:schemeClr val="tx1"/>
              </a:solidFill>
              <a:effectLst/>
              <a:latin typeface="+mn-lt"/>
              <a:ea typeface="+mn-ea"/>
              <a:cs typeface="+mn-cs"/>
            </a:rPr>
            <a:t>IL</a:t>
          </a:r>
          <a:r>
            <a:rPr lang="en-GB"/>
            <a:t> </a:t>
          </a:r>
          <a:r>
            <a:rPr lang="en-GB" sz="1100" b="0" i="0" u="none" strike="noStrike">
              <a:solidFill>
                <a:schemeClr val="tx1"/>
              </a:solidFill>
              <a:effectLst/>
              <a:latin typeface="+mn-lt"/>
              <a:ea typeface="+mn-ea"/>
              <a:cs typeface="+mn-cs"/>
            </a:rPr>
            <a:t>8</a:t>
          </a:r>
          <a:r>
            <a:rPr lang="en-GB"/>
            <a:t> </a:t>
          </a:r>
          <a:r>
            <a:rPr lang="en-GB" sz="1100" b="0" i="0" u="none" strike="noStrike" baseline="0">
              <a:solidFill>
                <a:schemeClr val="tx1"/>
              </a:solidFill>
              <a:effectLst/>
              <a:latin typeface="+mn-lt"/>
              <a:ea typeface="+mn-ea"/>
              <a:cs typeface="+mn-cs"/>
            </a:rPr>
            <a:t>  and      </a:t>
          </a:r>
          <a:r>
            <a:rPr lang="en-GB"/>
            <a:t> </a:t>
          </a:r>
          <a:r>
            <a:rPr lang="en-GB" sz="1100" b="0" i="0" u="none" strike="noStrike">
              <a:solidFill>
                <a:schemeClr val="tx1"/>
              </a:solidFill>
              <a:effectLst/>
              <a:latin typeface="+mn-lt"/>
              <a:ea typeface="+mn-ea"/>
              <a:cs typeface="+mn-cs"/>
            </a:rPr>
            <a:t>NY</a:t>
          </a:r>
          <a:r>
            <a:rPr lang="en-GB"/>
            <a:t> </a:t>
          </a:r>
          <a:r>
            <a:rPr lang="en-GB" sz="1100" b="0" i="0" u="none" strike="noStrike">
              <a:solidFill>
                <a:schemeClr val="tx1"/>
              </a:solidFill>
              <a:effectLst/>
              <a:latin typeface="+mn-lt"/>
              <a:ea typeface="+mn-ea"/>
              <a:cs typeface="+mn-cs"/>
            </a:rPr>
            <a:t>8</a:t>
          </a:r>
          <a:r>
            <a:rPr lang="en-GB"/>
            <a:t> </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What is the average spend per customer?   </a:t>
          </a:r>
          <a:r>
            <a:rPr lang="en-GB" sz="1100" b="0" i="0" u="none" strike="noStrike">
              <a:solidFill>
                <a:schemeClr val="tx1"/>
              </a:solidFill>
              <a:effectLst/>
              <a:latin typeface="+mn-lt"/>
              <a:ea typeface="+mn-ea"/>
              <a:cs typeface="+mn-cs"/>
            </a:rPr>
            <a:t>$1,080.68</a:t>
          </a:r>
          <a:r>
            <a:rPr lang="en-GB"/>
            <a:t> </a:t>
          </a:r>
          <a:endParaRPr lang="en-GB" sz="1100">
            <a:solidFill>
              <a:schemeClr val="tx1"/>
            </a:solidFill>
            <a:effectLst/>
            <a:latin typeface="+mn-lt"/>
            <a:ea typeface="+mn-ea"/>
            <a:cs typeface="+mn-cs"/>
          </a:endParaRPr>
        </a:p>
        <a:p>
          <a:r>
            <a:rPr lang="en-GB" sz="1100" b="1">
              <a:solidFill>
                <a:schemeClr val="tx1"/>
              </a:solidFill>
              <a:effectLst/>
              <a:latin typeface="+mn-lt"/>
              <a:ea typeface="+mn-ea"/>
              <a:cs typeface="+mn-cs"/>
            </a:rPr>
            <a:t>Product Questions</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Which products sell most? </a:t>
          </a:r>
          <a:r>
            <a:rPr lang="en-GB" sz="1100" b="0" i="0" u="none" strike="noStrike">
              <a:solidFill>
                <a:schemeClr val="tx1"/>
              </a:solidFill>
              <a:effectLst/>
              <a:latin typeface="+mn-lt"/>
              <a:ea typeface="+mn-ea"/>
              <a:cs typeface="+mn-cs"/>
            </a:rPr>
            <a:t>Coffee</a:t>
          </a:r>
          <a:r>
            <a:rPr lang="en-GB"/>
            <a:t> </a:t>
          </a:r>
          <a:r>
            <a:rPr lang="en-GB" sz="1100" b="0" i="0" u="none" strike="noStrike">
              <a:solidFill>
                <a:schemeClr val="tx1"/>
              </a:solidFill>
              <a:effectLst/>
              <a:latin typeface="+mn-lt"/>
              <a:ea typeface="+mn-ea"/>
              <a:cs typeface="+mn-cs"/>
            </a:rPr>
            <a:t>$12,190</a:t>
          </a:r>
          <a:r>
            <a:rPr lang="en-GB"/>
            <a:t> </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Which category generates the highest revenue?  </a:t>
          </a:r>
          <a:r>
            <a:rPr lang="en-GB" sz="1100" b="0" i="0" u="none" strike="noStrike">
              <a:solidFill>
                <a:schemeClr val="tx1"/>
              </a:solidFill>
              <a:effectLst/>
              <a:latin typeface="+mn-lt"/>
              <a:ea typeface="+mn-ea"/>
              <a:cs typeface="+mn-cs"/>
            </a:rPr>
            <a:t>Beverages</a:t>
          </a:r>
          <a:r>
            <a:rPr lang="en-GB"/>
            <a:t> </a:t>
          </a:r>
          <a:r>
            <a:rPr lang="en-GB" sz="1100" b="0" i="0" u="none" strike="noStrike">
              <a:solidFill>
                <a:schemeClr val="tx1"/>
              </a:solidFill>
              <a:effectLst/>
              <a:latin typeface="+mn-lt"/>
              <a:ea typeface="+mn-ea"/>
              <a:cs typeface="+mn-cs"/>
            </a:rPr>
            <a:t>$17,452</a:t>
          </a:r>
          <a:r>
            <a:rPr lang="en-GB"/>
            <a:t> </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Which products have low sales? </a:t>
          </a:r>
          <a:r>
            <a:rPr lang="en-GB" sz="1100" b="0" i="0" u="none" strike="noStrike">
              <a:solidFill>
                <a:schemeClr val="tx1"/>
              </a:solidFill>
              <a:effectLst/>
              <a:latin typeface="+mn-lt"/>
              <a:ea typeface="+mn-ea"/>
              <a:cs typeface="+mn-cs"/>
            </a:rPr>
            <a:t>Long Grain Rice</a:t>
          </a:r>
          <a:r>
            <a:rPr lang="en-GB"/>
            <a:t> </a:t>
          </a:r>
          <a:r>
            <a:rPr lang="en-GB" sz="1100" b="0" i="0" u="none" strike="noStrike">
              <a:solidFill>
                <a:schemeClr val="tx1"/>
              </a:solidFill>
              <a:effectLst/>
              <a:latin typeface="+mn-lt"/>
              <a:ea typeface="+mn-ea"/>
              <a:cs typeface="+mn-cs"/>
            </a:rPr>
            <a:t>$196</a:t>
          </a:r>
          <a:r>
            <a:rPr lang="en-GB"/>
            <a:t> </a:t>
          </a:r>
          <a:endParaRPr lang="en-GB" sz="1100">
            <a:solidFill>
              <a:schemeClr val="tx1"/>
            </a:solidFill>
            <a:effectLst/>
            <a:latin typeface="+mn-lt"/>
            <a:ea typeface="+mn-ea"/>
            <a:cs typeface="+mn-cs"/>
          </a:endParaRPr>
        </a:p>
        <a:p>
          <a:r>
            <a:rPr lang="en-GB" sz="1100" b="1">
              <a:solidFill>
                <a:schemeClr val="tx1"/>
              </a:solidFill>
              <a:effectLst/>
              <a:latin typeface="+mn-lt"/>
              <a:ea typeface="+mn-ea"/>
              <a:cs typeface="+mn-cs"/>
            </a:rPr>
            <a:t>Shipping Questions</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Which shipper handles most orders? </a:t>
          </a:r>
          <a:r>
            <a:rPr lang="en-GB" sz="1100" b="0" i="0" u="none" strike="noStrike">
              <a:solidFill>
                <a:schemeClr val="tx1"/>
              </a:solidFill>
              <a:effectLst/>
              <a:latin typeface="+mn-lt"/>
              <a:ea typeface="+mn-ea"/>
              <a:cs typeface="+mn-cs"/>
            </a:rPr>
            <a:t>Shipping Company B</a:t>
          </a:r>
          <a:r>
            <a:rPr lang="en-GB"/>
            <a:t> </a:t>
          </a:r>
          <a:r>
            <a:rPr lang="en-GB" sz="1100" b="0" i="0" u="none" strike="noStrike">
              <a:solidFill>
                <a:schemeClr val="tx1"/>
              </a:solidFill>
              <a:effectLst/>
              <a:latin typeface="+mn-lt"/>
              <a:ea typeface="+mn-ea"/>
              <a:cs typeface="+mn-cs"/>
            </a:rPr>
            <a:t>22</a:t>
          </a:r>
          <a:r>
            <a:rPr lang="en-GB"/>
            <a:t>   and</a:t>
          </a:r>
          <a:r>
            <a:rPr lang="en-GB" baseline="0"/>
            <a:t> </a:t>
          </a:r>
          <a:r>
            <a:rPr lang="en-GB" sz="1100" b="0" i="0" u="none" strike="noStrike">
              <a:solidFill>
                <a:schemeClr val="tx1"/>
              </a:solidFill>
              <a:effectLst/>
              <a:latin typeface="+mn-lt"/>
              <a:ea typeface="+mn-ea"/>
              <a:cs typeface="+mn-cs"/>
            </a:rPr>
            <a:t>Shipping Company C   </a:t>
          </a:r>
          <a:r>
            <a:rPr lang="en-GB"/>
            <a:t> </a:t>
          </a:r>
          <a:r>
            <a:rPr lang="en-GB" sz="1100" b="0" i="0" u="none" strike="noStrike">
              <a:solidFill>
                <a:schemeClr val="tx1"/>
              </a:solidFill>
              <a:effectLst/>
              <a:latin typeface="+mn-lt"/>
              <a:ea typeface="+mn-ea"/>
              <a:cs typeface="+mn-cs"/>
            </a:rPr>
            <a:t>22     </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Which region has highest shipping fees? </a:t>
          </a:r>
          <a:r>
            <a:rPr lang="en-GB" sz="1100" b="0" i="0" u="none" strike="noStrike">
              <a:solidFill>
                <a:schemeClr val="tx1"/>
              </a:solidFill>
              <a:effectLst/>
              <a:latin typeface="+mn-lt"/>
              <a:ea typeface="+mn-ea"/>
              <a:cs typeface="+mn-cs"/>
            </a:rPr>
            <a:t>North</a:t>
          </a:r>
          <a:r>
            <a:rPr lang="en-GB"/>
            <a:t> </a:t>
          </a:r>
          <a:r>
            <a:rPr lang="en-GB" sz="1100" b="0" i="0" u="none" strike="noStrike">
              <a:solidFill>
                <a:schemeClr val="tx1"/>
              </a:solidFill>
              <a:effectLst/>
              <a:latin typeface="+mn-lt"/>
              <a:ea typeface="+mn-ea"/>
              <a:cs typeface="+mn-cs"/>
            </a:rPr>
            <a:t>$2,659.29</a:t>
          </a:r>
          <a:r>
            <a:rPr lang="en-GB"/>
            <a:t> </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What is average delivery time? </a:t>
          </a:r>
          <a:r>
            <a:rPr lang="en-GB" sz="1100" b="0" i="0" u="none" strike="noStrike">
              <a:solidFill>
                <a:schemeClr val="tx1"/>
              </a:solidFill>
              <a:effectLst/>
              <a:latin typeface="+mn-lt"/>
              <a:ea typeface="+mn-ea"/>
              <a:cs typeface="+mn-cs"/>
            </a:rPr>
            <a:t>2.31</a:t>
          </a:r>
          <a:r>
            <a:rPr lang="en-GB"/>
            <a:t> </a:t>
          </a:r>
          <a:endParaRPr lang="en-GB" sz="1100">
            <a:solidFill>
              <a:schemeClr val="tx1"/>
            </a:solidFill>
            <a:effectLst/>
            <a:latin typeface="+mn-lt"/>
            <a:ea typeface="+mn-ea"/>
            <a:cs typeface="+mn-cs"/>
          </a:endParaRPr>
        </a:p>
        <a:p>
          <a:r>
            <a:rPr lang="en-GB" sz="1100" b="1">
              <a:solidFill>
                <a:schemeClr val="tx1"/>
              </a:solidFill>
              <a:effectLst/>
              <a:latin typeface="+mn-lt"/>
              <a:ea typeface="+mn-ea"/>
              <a:cs typeface="+mn-cs"/>
            </a:rPr>
            <a:t>Payment Questions</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Which payment type is most used? </a:t>
          </a:r>
          <a:r>
            <a:rPr lang="en-GB" sz="1100" b="0" i="0" u="none" strike="noStrike">
              <a:solidFill>
                <a:schemeClr val="tx1"/>
              </a:solidFill>
              <a:effectLst/>
              <a:latin typeface="+mn-lt"/>
              <a:ea typeface="+mn-ea"/>
              <a:cs typeface="+mn-cs"/>
            </a:rPr>
            <a:t>Credit Card</a:t>
          </a:r>
          <a:r>
            <a:rPr lang="en-GB"/>
            <a:t>   </a:t>
          </a:r>
          <a:r>
            <a:rPr lang="en-GB" sz="1100" b="0" i="0" u="none" strike="noStrike">
              <a:solidFill>
                <a:schemeClr val="tx1"/>
              </a:solidFill>
              <a:effectLst/>
              <a:latin typeface="+mn-lt"/>
              <a:ea typeface="+mn-ea"/>
              <a:cs typeface="+mn-cs"/>
            </a:rPr>
            <a:t>38</a:t>
          </a:r>
          <a:r>
            <a:rPr lang="en-GB"/>
            <a:t> </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Which payment type brings highest revenue? </a:t>
          </a:r>
          <a:r>
            <a:rPr lang="en-GB" sz="1100" b="0" i="0" u="none" strike="noStrike">
              <a:solidFill>
                <a:schemeClr val="tx1"/>
              </a:solidFill>
              <a:effectLst/>
              <a:latin typeface="+mn-lt"/>
              <a:ea typeface="+mn-ea"/>
              <a:cs typeface="+mn-cs"/>
            </a:rPr>
            <a:t>Credit Card  </a:t>
          </a:r>
          <a:r>
            <a:rPr lang="en-GB"/>
            <a:t> </a:t>
          </a:r>
          <a:r>
            <a:rPr lang="en-GB" sz="1100" b="0" i="0" u="none" strike="noStrike">
              <a:solidFill>
                <a:schemeClr val="tx1"/>
              </a:solidFill>
              <a:effectLst/>
              <a:latin typeface="+mn-lt"/>
              <a:ea typeface="+mn-ea"/>
              <a:cs typeface="+mn-cs"/>
            </a:rPr>
            <a:t>$47,847.78</a:t>
          </a:r>
          <a:r>
            <a:rPr lang="en-GB"/>
            <a:t> </a:t>
          </a:r>
          <a:r>
            <a:rPr lang="en-GB" sz="1100">
              <a:solidFill>
                <a:schemeClr val="tx1"/>
              </a:solidFill>
              <a:effectLst/>
              <a:latin typeface="+mn-lt"/>
              <a:ea typeface="+mn-ea"/>
              <a:cs typeface="+mn-cs"/>
            </a:rPr>
            <a:t> </a:t>
          </a:r>
        </a:p>
        <a:p>
          <a:endParaRPr lang="en-GB" sz="1100"/>
        </a:p>
      </xdr:txBody>
    </xdr:sp>
    <xdr:clientData/>
  </xdr:oneCellAnchor>
  <xdr:twoCellAnchor editAs="oneCell">
    <xdr:from>
      <xdr:col>14</xdr:col>
      <xdr:colOff>57150</xdr:colOff>
      <xdr:row>0</xdr:row>
      <xdr:rowOff>19051</xdr:rowOff>
    </xdr:from>
    <xdr:to>
      <xdr:col>19</xdr:col>
      <xdr:colOff>342900</xdr:colOff>
      <xdr:row>6</xdr:row>
      <xdr:rowOff>200025</xdr:rowOff>
    </xdr:to>
    <mc:AlternateContent xmlns:mc="http://schemas.openxmlformats.org/markup-compatibility/2006" xmlns:a14="http://schemas.microsoft.com/office/drawing/2010/main">
      <mc:Choice Requires="a14">
        <xdr:graphicFrame macro="">
          <xdr:nvGraphicFramePr>
            <xdr:cNvPr id="64" name="Customer Name 1">
              <a:extLst>
                <a:ext uri="{FF2B5EF4-FFF2-40B4-BE49-F238E27FC236}">
                  <a16:creationId xmlns:a16="http://schemas.microsoft.com/office/drawing/2014/main" id="{E46ED7F2-BA71-48CA-8C0A-3B256B1DE3F4}"/>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9286875" y="19051"/>
              <a:ext cx="2990850" cy="1295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0</xdr:row>
      <xdr:rowOff>0</xdr:rowOff>
    </xdr:from>
    <xdr:to>
      <xdr:col>0</xdr:col>
      <xdr:colOff>1219199</xdr:colOff>
      <xdr:row>4</xdr:row>
      <xdr:rowOff>152400</xdr:rowOff>
    </xdr:to>
    <xdr:pic>
      <xdr:nvPicPr>
        <xdr:cNvPr id="16" name="Graphic 15" descr="Shopping cart with solid fill">
          <a:extLst>
            <a:ext uri="{FF2B5EF4-FFF2-40B4-BE49-F238E27FC236}">
              <a16:creationId xmlns:a16="http://schemas.microsoft.com/office/drawing/2014/main" id="{141E426D-CBE5-4400-8EB1-5D8E07C3AF7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525" y="0"/>
          <a:ext cx="1209674" cy="914400"/>
        </a:xfrm>
        <a:prstGeom prst="rect">
          <a:avLst/>
        </a:prstGeom>
      </xdr:spPr>
    </xdr:pic>
    <xdr:clientData/>
  </xdr:twoCellAnchor>
  <xdr:twoCellAnchor>
    <xdr:from>
      <xdr:col>11</xdr:col>
      <xdr:colOff>95250</xdr:colOff>
      <xdr:row>7</xdr:row>
      <xdr:rowOff>133350</xdr:rowOff>
    </xdr:from>
    <xdr:to>
      <xdr:col>14</xdr:col>
      <xdr:colOff>476250</xdr:colOff>
      <xdr:row>21</xdr:row>
      <xdr:rowOff>57150</xdr:rowOff>
    </xdr:to>
    <xdr:graphicFrame macro="">
      <xdr:nvGraphicFramePr>
        <xdr:cNvPr id="59" name="Chart 58">
          <a:extLst>
            <a:ext uri="{FF2B5EF4-FFF2-40B4-BE49-F238E27FC236}">
              <a16:creationId xmlns:a16="http://schemas.microsoft.com/office/drawing/2014/main" id="{524C1F57-A520-4AE4-BDC9-48A617195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xdr:colOff>
      <xdr:row>14</xdr:row>
      <xdr:rowOff>76200</xdr:rowOff>
    </xdr:from>
    <xdr:to>
      <xdr:col>1</xdr:col>
      <xdr:colOff>12076</xdr:colOff>
      <xdr:row>21</xdr:row>
      <xdr:rowOff>161925</xdr:rowOff>
    </xdr:to>
    <mc:AlternateContent xmlns:mc="http://schemas.openxmlformats.org/markup-compatibility/2006" xmlns:a14="http://schemas.microsoft.com/office/drawing/2010/main">
      <mc:Choice Requires="a14">
        <xdr:graphicFrame macro="">
          <xdr:nvGraphicFramePr>
            <xdr:cNvPr id="65" name="Salesperson">
              <a:extLst>
                <a:ext uri="{FF2B5EF4-FFF2-40B4-BE49-F238E27FC236}">
                  <a16:creationId xmlns:a16="http://schemas.microsoft.com/office/drawing/2014/main" id="{69FBB91F-7C60-4271-A190-83E07979DEEE}"/>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 y="2847975"/>
              <a:ext cx="1317000" cy="14192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23</xdr:row>
      <xdr:rowOff>0</xdr:rowOff>
    </xdr:from>
    <xdr:to>
      <xdr:col>19</xdr:col>
      <xdr:colOff>104775</xdr:colOff>
      <xdr:row>46</xdr:row>
      <xdr:rowOff>114299</xdr:rowOff>
    </xdr:to>
    <xdr:sp macro="" textlink="">
      <xdr:nvSpPr>
        <xdr:cNvPr id="75" name="Rectangle 74">
          <a:extLst>
            <a:ext uri="{FF2B5EF4-FFF2-40B4-BE49-F238E27FC236}">
              <a16:creationId xmlns:a16="http://schemas.microsoft.com/office/drawing/2014/main" id="{D68C1710-C2BC-4547-BA0B-C8D926F8605B}"/>
            </a:ext>
          </a:extLst>
        </xdr:cNvPr>
        <xdr:cNvSpPr/>
      </xdr:nvSpPr>
      <xdr:spPr>
        <a:xfrm>
          <a:off x="1304925" y="4486275"/>
          <a:ext cx="11077575" cy="4495799"/>
        </a:xfrm>
        <a:prstGeom prst="rect">
          <a:avLst/>
        </a:prstGeom>
        <a:solidFill>
          <a:schemeClr val="tx1"/>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0</xdr:colOff>
      <xdr:row>23</xdr:row>
      <xdr:rowOff>0</xdr:rowOff>
    </xdr:from>
    <xdr:to>
      <xdr:col>3</xdr:col>
      <xdr:colOff>257174</xdr:colOff>
      <xdr:row>30</xdr:row>
      <xdr:rowOff>76199</xdr:rowOff>
    </xdr:to>
    <mc:AlternateContent xmlns:mc="http://schemas.openxmlformats.org/markup-compatibility/2006" xmlns:a14="http://schemas.microsoft.com/office/drawing/2010/main">
      <mc:Choice Requires="a14">
        <xdr:graphicFrame macro="">
          <xdr:nvGraphicFramePr>
            <xdr:cNvPr id="76" name="Customer Name">
              <a:extLst>
                <a:ext uri="{FF2B5EF4-FFF2-40B4-BE49-F238E27FC236}">
                  <a16:creationId xmlns:a16="http://schemas.microsoft.com/office/drawing/2014/main" id="{1AB3E11A-0334-4A81-8A0C-4D53589AA2C1}"/>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0" y="4486275"/>
              <a:ext cx="2781299" cy="14096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30</xdr:row>
      <xdr:rowOff>123824</xdr:rowOff>
    </xdr:from>
    <xdr:to>
      <xdr:col>3</xdr:col>
      <xdr:colOff>238125</xdr:colOff>
      <xdr:row>36</xdr:row>
      <xdr:rowOff>152399</xdr:rowOff>
    </xdr:to>
    <mc:AlternateContent xmlns:mc="http://schemas.openxmlformats.org/markup-compatibility/2006" xmlns:a14="http://schemas.microsoft.com/office/drawing/2010/main">
      <mc:Choice Requires="a14">
        <xdr:graphicFrame macro="">
          <xdr:nvGraphicFramePr>
            <xdr:cNvPr id="77" name="Product_Name">
              <a:extLst>
                <a:ext uri="{FF2B5EF4-FFF2-40B4-BE49-F238E27FC236}">
                  <a16:creationId xmlns:a16="http://schemas.microsoft.com/office/drawing/2014/main" id="{F05B4204-BC80-4AC6-8BEA-336E9AB1C904}"/>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9050" y="5943599"/>
              <a:ext cx="2743200" cy="1171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36</xdr:row>
      <xdr:rowOff>152399</xdr:rowOff>
    </xdr:from>
    <xdr:to>
      <xdr:col>3</xdr:col>
      <xdr:colOff>257175</xdr:colOff>
      <xdr:row>45</xdr:row>
      <xdr:rowOff>161924</xdr:rowOff>
    </xdr:to>
    <mc:AlternateContent xmlns:mc="http://schemas.openxmlformats.org/markup-compatibility/2006" xmlns:a14="http://schemas.microsoft.com/office/drawing/2010/main">
      <mc:Choice Requires="a14">
        <xdr:graphicFrame macro="">
          <xdr:nvGraphicFramePr>
            <xdr:cNvPr id="78" name="Category">
              <a:extLst>
                <a:ext uri="{FF2B5EF4-FFF2-40B4-BE49-F238E27FC236}">
                  <a16:creationId xmlns:a16="http://schemas.microsoft.com/office/drawing/2014/main" id="{E357A343-2FB3-454E-8823-8076B0A6B94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100" y="7115174"/>
              <a:ext cx="2743200" cy="1724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581025</xdr:colOff>
      <xdr:row>35</xdr:row>
      <xdr:rowOff>123825</xdr:rowOff>
    </xdr:from>
    <xdr:to>
      <xdr:col>15</xdr:col>
      <xdr:colOff>247650</xdr:colOff>
      <xdr:row>46</xdr:row>
      <xdr:rowOff>28575</xdr:rowOff>
    </xdr:to>
    <xdr:graphicFrame macro="">
      <xdr:nvGraphicFramePr>
        <xdr:cNvPr id="79" name="Chart 78">
          <a:extLst>
            <a:ext uri="{FF2B5EF4-FFF2-40B4-BE49-F238E27FC236}">
              <a16:creationId xmlns:a16="http://schemas.microsoft.com/office/drawing/2014/main" id="{07334175-3507-480C-9D7A-147B50AD4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333375</xdr:colOff>
      <xdr:row>23</xdr:row>
      <xdr:rowOff>9526</xdr:rowOff>
    </xdr:from>
    <xdr:to>
      <xdr:col>8</xdr:col>
      <xdr:colOff>428625</xdr:colOff>
      <xdr:row>35</xdr:row>
      <xdr:rowOff>0</xdr:rowOff>
    </xdr:to>
    <xdr:graphicFrame macro="">
      <xdr:nvGraphicFramePr>
        <xdr:cNvPr id="80" name="Chart 79">
          <a:extLst>
            <a:ext uri="{FF2B5EF4-FFF2-40B4-BE49-F238E27FC236}">
              <a16:creationId xmlns:a16="http://schemas.microsoft.com/office/drawing/2014/main" id="{30B8B194-A51C-4782-BC0D-CA01C1EE6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304801</xdr:colOff>
      <xdr:row>35</xdr:row>
      <xdr:rowOff>114299</xdr:rowOff>
    </xdr:from>
    <xdr:to>
      <xdr:col>8</xdr:col>
      <xdr:colOff>495301</xdr:colOff>
      <xdr:row>46</xdr:row>
      <xdr:rowOff>28574</xdr:rowOff>
    </xdr:to>
    <xdr:graphicFrame macro="">
      <xdr:nvGraphicFramePr>
        <xdr:cNvPr id="81" name="Chart 80">
          <a:extLst>
            <a:ext uri="{FF2B5EF4-FFF2-40B4-BE49-F238E27FC236}">
              <a16:creationId xmlns:a16="http://schemas.microsoft.com/office/drawing/2014/main" id="{3103C2F1-05AB-4C3B-876E-00C962263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489347</xdr:colOff>
      <xdr:row>23</xdr:row>
      <xdr:rowOff>9526</xdr:rowOff>
    </xdr:from>
    <xdr:to>
      <xdr:col>15</xdr:col>
      <xdr:colOff>266700</xdr:colOff>
      <xdr:row>34</xdr:row>
      <xdr:rowOff>180976</xdr:rowOff>
    </xdr:to>
    <xdr:graphicFrame macro="">
      <xdr:nvGraphicFramePr>
        <xdr:cNvPr id="82" name="Chart 81">
          <a:extLst>
            <a:ext uri="{FF2B5EF4-FFF2-40B4-BE49-F238E27FC236}">
              <a16:creationId xmlns:a16="http://schemas.microsoft.com/office/drawing/2014/main" id="{FA62C801-62CA-44C2-9FC2-E7583FEAD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333374</xdr:colOff>
      <xdr:row>23</xdr:row>
      <xdr:rowOff>0</xdr:rowOff>
    </xdr:from>
    <xdr:to>
      <xdr:col>19</xdr:col>
      <xdr:colOff>361949</xdr:colOff>
      <xdr:row>46</xdr:row>
      <xdr:rowOff>47625</xdr:rowOff>
    </xdr:to>
    <xdr:graphicFrame macro="">
      <xdr:nvGraphicFramePr>
        <xdr:cNvPr id="83" name="Chart 82">
          <a:extLst>
            <a:ext uri="{FF2B5EF4-FFF2-40B4-BE49-F238E27FC236}">
              <a16:creationId xmlns:a16="http://schemas.microsoft.com/office/drawing/2014/main" id="{0FFDC110-9FE2-4699-B9A8-419168F2D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66676</xdr:colOff>
      <xdr:row>0</xdr:row>
      <xdr:rowOff>9525</xdr:rowOff>
    </xdr:from>
    <xdr:to>
      <xdr:col>40</xdr:col>
      <xdr:colOff>381000</xdr:colOff>
      <xdr:row>21</xdr:row>
      <xdr:rowOff>123825</xdr:rowOff>
    </xdr:to>
    <xdr:sp macro="" textlink="">
      <xdr:nvSpPr>
        <xdr:cNvPr id="84" name="Rectangle 83">
          <a:extLst>
            <a:ext uri="{FF2B5EF4-FFF2-40B4-BE49-F238E27FC236}">
              <a16:creationId xmlns:a16="http://schemas.microsoft.com/office/drawing/2014/main" id="{5C0A5025-0CBF-40FF-8BF8-D1F88A85ED9E}"/>
            </a:ext>
          </a:extLst>
        </xdr:cNvPr>
        <xdr:cNvSpPr/>
      </xdr:nvSpPr>
      <xdr:spPr>
        <a:xfrm>
          <a:off x="12954001" y="9525"/>
          <a:ext cx="12506324" cy="4219575"/>
        </a:xfrm>
        <a:prstGeom prst="rect">
          <a:avLst/>
        </a:prstGeom>
        <a:solidFill>
          <a:schemeClr val="tx1"/>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28</xdr:col>
      <xdr:colOff>76200</xdr:colOff>
      <xdr:row>0</xdr:row>
      <xdr:rowOff>104775</xdr:rowOff>
    </xdr:from>
    <xdr:to>
      <xdr:col>34</xdr:col>
      <xdr:colOff>485775</xdr:colOff>
      <xdr:row>10</xdr:row>
      <xdr:rowOff>19050</xdr:rowOff>
    </xdr:to>
    <xdr:graphicFrame macro="">
      <xdr:nvGraphicFramePr>
        <xdr:cNvPr id="85" name="Chart 84">
          <a:extLst>
            <a:ext uri="{FF2B5EF4-FFF2-40B4-BE49-F238E27FC236}">
              <a16:creationId xmlns:a16="http://schemas.microsoft.com/office/drawing/2014/main" id="{8C0E5661-29B6-4311-A200-072D3CE55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28</xdr:col>
      <xdr:colOff>95250</xdr:colOff>
      <xdr:row>10</xdr:row>
      <xdr:rowOff>180975</xdr:rowOff>
    </xdr:from>
    <xdr:to>
      <xdr:col>34</xdr:col>
      <xdr:colOff>466725</xdr:colOff>
      <xdr:row>21</xdr:row>
      <xdr:rowOff>95251</xdr:rowOff>
    </xdr:to>
    <xdr:graphicFrame macro="">
      <xdr:nvGraphicFramePr>
        <xdr:cNvPr id="86" name="Chart 85">
          <a:extLst>
            <a:ext uri="{FF2B5EF4-FFF2-40B4-BE49-F238E27FC236}">
              <a16:creationId xmlns:a16="http://schemas.microsoft.com/office/drawing/2014/main" id="{69CBC84B-DDA1-4400-952D-E05B4A41F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247649</xdr:colOff>
      <xdr:row>10</xdr:row>
      <xdr:rowOff>85724</xdr:rowOff>
    </xdr:from>
    <xdr:to>
      <xdr:col>27</xdr:col>
      <xdr:colOff>600075</xdr:colOff>
      <xdr:row>21</xdr:row>
      <xdr:rowOff>28575</xdr:rowOff>
    </xdr:to>
    <xdr:graphicFrame macro="">
      <xdr:nvGraphicFramePr>
        <xdr:cNvPr id="87" name="Chart 86">
          <a:extLst>
            <a:ext uri="{FF2B5EF4-FFF2-40B4-BE49-F238E27FC236}">
              <a16:creationId xmlns:a16="http://schemas.microsoft.com/office/drawing/2014/main" id="{8A129A10-3F37-4C58-9CFA-151B4EC64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22</xdr:col>
      <xdr:colOff>285750</xdr:colOff>
      <xdr:row>0</xdr:row>
      <xdr:rowOff>123826</xdr:rowOff>
    </xdr:from>
    <xdr:to>
      <xdr:col>27</xdr:col>
      <xdr:colOff>581025</xdr:colOff>
      <xdr:row>9</xdr:row>
      <xdr:rowOff>171451</xdr:rowOff>
    </xdr:to>
    <xdr:graphicFrame macro="">
      <xdr:nvGraphicFramePr>
        <xdr:cNvPr id="88" name="Chart 87">
          <a:extLst>
            <a:ext uri="{FF2B5EF4-FFF2-40B4-BE49-F238E27FC236}">
              <a16:creationId xmlns:a16="http://schemas.microsoft.com/office/drawing/2014/main" id="{1D1A3CAB-C214-49C4-B7A5-7D3B18AD4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20</xdr:col>
      <xdr:colOff>47626</xdr:colOff>
      <xdr:row>0</xdr:row>
      <xdr:rowOff>9524</xdr:rowOff>
    </xdr:from>
    <xdr:to>
      <xdr:col>22</xdr:col>
      <xdr:colOff>161926</xdr:colOff>
      <xdr:row>6</xdr:row>
      <xdr:rowOff>47625</xdr:rowOff>
    </xdr:to>
    <mc:AlternateContent xmlns:mc="http://schemas.openxmlformats.org/markup-compatibility/2006" xmlns:a14="http://schemas.microsoft.com/office/drawing/2010/main">
      <mc:Choice Requires="a14">
        <xdr:graphicFrame macro="">
          <xdr:nvGraphicFramePr>
            <xdr:cNvPr id="89" name="Payment_Type 1">
              <a:extLst>
                <a:ext uri="{FF2B5EF4-FFF2-40B4-BE49-F238E27FC236}">
                  <a16:creationId xmlns:a16="http://schemas.microsoft.com/office/drawing/2014/main" id="{092BBDAB-7B5E-4B89-BF2D-35BAE4E0866A}"/>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mlns="">
        <xdr:sp macro="" textlink="">
          <xdr:nvSpPr>
            <xdr:cNvPr id="0" name=""/>
            <xdr:cNvSpPr>
              <a:spLocks noTextEdit="1"/>
            </xdr:cNvSpPr>
          </xdr:nvSpPr>
          <xdr:spPr>
            <a:xfrm>
              <a:off x="12934951" y="9524"/>
              <a:ext cx="1333500" cy="11811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47626</xdr:colOff>
      <xdr:row>6</xdr:row>
      <xdr:rowOff>161925</xdr:rowOff>
    </xdr:from>
    <xdr:to>
      <xdr:col>22</xdr:col>
      <xdr:colOff>161926</xdr:colOff>
      <xdr:row>13</xdr:row>
      <xdr:rowOff>85726</xdr:rowOff>
    </xdr:to>
    <mc:AlternateContent xmlns:mc="http://schemas.openxmlformats.org/markup-compatibility/2006" xmlns:a14="http://schemas.microsoft.com/office/drawing/2010/main">
      <mc:Choice Requires="a14">
        <xdr:graphicFrame macro="">
          <xdr:nvGraphicFramePr>
            <xdr:cNvPr id="90" name="Shipper_Name">
              <a:extLst>
                <a:ext uri="{FF2B5EF4-FFF2-40B4-BE49-F238E27FC236}">
                  <a16:creationId xmlns:a16="http://schemas.microsoft.com/office/drawing/2014/main" id="{4B315978-8680-482E-9574-4287D3F898B5}"/>
                </a:ext>
              </a:extLst>
            </xdr:cNvPr>
            <xdr:cNvGraphicFramePr/>
          </xdr:nvGraphicFramePr>
          <xdr:xfrm>
            <a:off x="0" y="0"/>
            <a:ext cx="0" cy="0"/>
          </xdr:xfrm>
          <a:graphic>
            <a:graphicData uri="http://schemas.microsoft.com/office/drawing/2010/slicer">
              <sle:slicer xmlns:sle="http://schemas.microsoft.com/office/drawing/2010/slicer" name="Shipper_Name"/>
            </a:graphicData>
          </a:graphic>
        </xdr:graphicFrame>
      </mc:Choice>
      <mc:Fallback xmlns="">
        <xdr:sp macro="" textlink="">
          <xdr:nvSpPr>
            <xdr:cNvPr id="0" name=""/>
            <xdr:cNvSpPr>
              <a:spLocks noTextEdit="1"/>
            </xdr:cNvSpPr>
          </xdr:nvSpPr>
          <xdr:spPr>
            <a:xfrm>
              <a:off x="12934951" y="1304925"/>
              <a:ext cx="1333500" cy="13620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38101</xdr:colOff>
      <xdr:row>13</xdr:row>
      <xdr:rowOff>152400</xdr:rowOff>
    </xdr:from>
    <xdr:to>
      <xdr:col>22</xdr:col>
      <xdr:colOff>180975</xdr:colOff>
      <xdr:row>20</xdr:row>
      <xdr:rowOff>171450</xdr:rowOff>
    </xdr:to>
    <mc:AlternateContent xmlns:mc="http://schemas.openxmlformats.org/markup-compatibility/2006" xmlns:a14="http://schemas.microsoft.com/office/drawing/2010/main">
      <mc:Choice Requires="a14">
        <xdr:graphicFrame macro="">
          <xdr:nvGraphicFramePr>
            <xdr:cNvPr id="91" name="Region 1">
              <a:extLst>
                <a:ext uri="{FF2B5EF4-FFF2-40B4-BE49-F238E27FC236}">
                  <a16:creationId xmlns:a16="http://schemas.microsoft.com/office/drawing/2014/main" id="{4292A42A-8735-49A8-8C5D-CB77338C558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925426" y="2733675"/>
              <a:ext cx="1362074" cy="1352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34</xdr:col>
      <xdr:colOff>542925</xdr:colOff>
      <xdr:row>0</xdr:row>
      <xdr:rowOff>95250</xdr:rowOff>
    </xdr:from>
    <xdr:to>
      <xdr:col>40</xdr:col>
      <xdr:colOff>342900</xdr:colOff>
      <xdr:row>21</xdr:row>
      <xdr:rowOff>28575</xdr:rowOff>
    </xdr:to>
    <xdr:graphicFrame macro="">
      <xdr:nvGraphicFramePr>
        <xdr:cNvPr id="92" name="Chart 91">
          <a:extLst>
            <a:ext uri="{FF2B5EF4-FFF2-40B4-BE49-F238E27FC236}">
              <a16:creationId xmlns:a16="http://schemas.microsoft.com/office/drawing/2014/main" id="{A88EC4BA-82AB-49E1-A648-A61CFF8CB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47685183" backgroundQuery="1" createdVersion="7" refreshedVersion="7" minRefreshableVersion="3" recordCount="0" supportSubquery="1" supportAdvancedDrill="1" xr:uid="{6E619890-D283-4B85-8C4C-53DEC4EA4B98}">
  <cacheSource type="external" connectionId="1"/>
  <cacheFields count="2">
    <cacheField name="[Table2].[Salesperson].[Salesperson]" caption="Salesperson" numFmtId="0" hierarchy="9" level="1">
      <sharedItems count="8">
        <s v="Andrew Cencini"/>
        <s v="Anne Larsen"/>
        <s v="Jan Kotas"/>
        <s v="Laura Giussani"/>
        <s v="Mariya Sergienko"/>
        <s v="Michael Neipper"/>
        <s v="Nancy Freehafer"/>
        <s v="Robert Zare"/>
      </sharedItems>
    </cacheField>
    <cacheField name="[Measures].[Sum of Revenue]" caption="Sum of Revenue" numFmtId="0" hierarchy="33" level="32767"/>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0"/>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48842592" backgroundQuery="1" createdVersion="7" refreshedVersion="7" minRefreshableVersion="3" recordCount="0" supportSubquery="1" supportAdvancedDrill="1" xr:uid="{5D4B9DD3-9CB1-4BDB-AE9A-263F292482D2}">
  <cacheSource type="external" connectionId="1"/>
  <cacheFields count="4">
    <cacheField name="[Table2].[Day].[Day]" caption="Day" numFmtId="0" hierarchy="26" level="1">
      <sharedItems count="1">
        <s v="Mon"/>
      </sharedItems>
    </cacheField>
    <cacheField name="[Table2].[Customer Name].[Customer Name]" caption="Customer Name" numFmtId="0" hierarchy="3" level="1">
      <sharedItems containsSemiMixedTypes="0" containsNonDate="0" containsString="0"/>
    </cacheField>
    <cacheField name="[Table2].[Salesperson].[Salesperson]" caption="Salesperson" numFmtId="0" hierarchy="9" level="1">
      <sharedItems count="2">
        <s v="Jan Kotas"/>
        <s v="Nancy Freehafer"/>
      </sharedItems>
    </cacheField>
    <cacheField name="[Measures].[Sum of Quantity]" caption="Sum of Quantity" numFmtId="0" hierarchy="34" level="32767"/>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fieldsUsage count="2">
        <fieldUsage x="-1"/>
        <fieldUsage x="1"/>
      </fieldsUsage>
    </cacheHierarchy>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2" memberValueDatatype="130" unbalanced="0">
      <fieldsUsage count="2">
        <fieldUsage x="-1"/>
        <fieldUsage x="0"/>
      </fieldsUsage>
    </cacheHierarchy>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49305554" backgroundQuery="1" createdVersion="7" refreshedVersion="7" minRefreshableVersion="3" recordCount="0" supportSubquery="1" supportAdvancedDrill="1" xr:uid="{1F1E15BD-0269-4688-8861-E3C458DCB83F}">
  <cacheSource type="external" connectionId="1"/>
  <cacheFields count="5">
    <cacheField name="[Measures].[Sum of Revenue]" caption="Sum of Revenue" numFmtId="0" hierarchy="33" level="32767"/>
    <cacheField name="[Measures].[Count of Customer Name]" caption="Count of Customer Name" numFmtId="0" hierarchy="37" level="32767"/>
    <cacheField name="[Table2].[Region].[Region]" caption="Region" numFmtId="0" hierarchy="10" level="1">
      <sharedItems count="4">
        <s v="East"/>
        <s v="North"/>
        <s v="South"/>
        <s v="West"/>
      </sharedItems>
    </cacheField>
    <cacheField name="[Measures].[Sum of Quantity]" caption="Sum of Quantity" numFmtId="0" hierarchy="34" level="32767"/>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4"/>
      </fieldsUsage>
    </cacheHierarchy>
    <cacheHierarchy uniqueName="[Table2].[Region]" caption="Region" attribute="1" defaultMemberUniqueName="[Table2].[Region].[All]" allUniqueName="[Table2].[Region].[All]" dimensionUniqueName="[Table2]" displayFolder="" count="2" memberValueDatatype="130" unbalanced="0">
      <fieldsUsage count="2">
        <fieldUsage x="-1"/>
        <fieldUsage x="2"/>
      </fieldsUsage>
    </cacheHierarchy>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50462962" backgroundQuery="1" createdVersion="7" refreshedVersion="7" minRefreshableVersion="3" recordCount="0" supportSubquery="1" supportAdvancedDrill="1" xr:uid="{C697F2CA-A886-4C62-9855-44C0A60DFB97}">
  <cacheSource type="external" connectionId="1"/>
  <cacheFields count="3">
    <cacheField name="[Table2].[Product_Name].[Product_Name]" caption="Product_Name" numFmtId="0" hierarchy="20" level="1">
      <sharedItems count="10">
        <s v="Chai"/>
        <s v="Chocolate"/>
        <s v="Chocolate Biscuits Mix"/>
        <s v="Clam Chowder"/>
        <s v="Coffee"/>
        <s v="Crab Meat"/>
        <s v="Curry Sauce"/>
        <s v="Dried Pears"/>
        <s v="Dried Plums"/>
        <s v="Green Tea"/>
      </sharedItems>
    </cacheField>
    <cacheField name="[Measures].[Sum of Quantity]" caption="Sum of Quantity" numFmtId="0" hierarchy="34" level="32767"/>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51157409" backgroundQuery="1" createdVersion="7" refreshedVersion="7" minRefreshableVersion="3" recordCount="0" supportSubquery="1" supportAdvancedDrill="1" xr:uid="{38464A7E-A70D-448C-93B0-BF427BA55ED8}">
  <cacheSource type="external" connectionId="1"/>
  <cacheFields count="4">
    <cacheField name="[Table2].[Customer Segmentation].[Customer Segmentation]" caption="Customer Segmentation" numFmtId="0" hierarchy="28" level="1">
      <sharedItems count="3">
        <s v="High_Spender"/>
        <s v="Low_Spender"/>
        <s v="Middle_Spender"/>
      </sharedItems>
    </cacheField>
    <cacheField name="[Measures].[Sum of Revenue]" caption="Sum of Revenue" numFmtId="0" hierarchy="33" level="32767"/>
    <cacheField name="[Measures].[Count of Customer Name]" caption="Count of Customer Name" numFmtId="0" hierarchy="37" level="32767"/>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3"/>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2" memberValueDatatype="130" unbalanced="0">
      <fieldsUsage count="2">
        <fieldUsage x="-1"/>
        <fieldUsage x="0"/>
      </fieldsUsage>
    </cacheHierarchy>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52083332" backgroundQuery="1" createdVersion="7" refreshedVersion="7" minRefreshableVersion="3" recordCount="0" supportSubquery="1" supportAdvancedDrill="1" xr:uid="{EEC4D9B2-B2AF-4173-A72E-422B263B2D7A}">
  <cacheSource type="external" connectionId="1"/>
  <cacheFields count="3">
    <cacheField name="[Measures].[Sum of Quantity]" caption="Sum of Quantity" numFmtId="0" hierarchy="34" level="32767"/>
    <cacheField name="[Table2].[Category].[Category]" caption="Category" numFmtId="0" hierarchy="21" level="1">
      <sharedItems count="14">
        <s v="Baked Goods &amp; Mixes"/>
        <s v="Beverages"/>
        <s v="Candy"/>
        <s v="Canned Meat"/>
        <s v="Condiments"/>
        <s v="Dairy Products"/>
        <s v="Dried Fruit &amp; Nuts"/>
        <s v="Fruit &amp; Veg"/>
        <s v="Grains"/>
        <s v="Jams, Preserves"/>
        <s v="Oil"/>
        <s v="Pasta"/>
        <s v="Sauces"/>
        <s v="Soups"/>
      </sharedItems>
    </cacheField>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1"/>
      </fieldsUsage>
    </cacheHierarchy>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52546294" backgroundQuery="1" createdVersion="7" refreshedVersion="7" minRefreshableVersion="3" recordCount="0" supportSubquery="1" supportAdvancedDrill="1" xr:uid="{DEB49B55-056B-47EB-842B-914C87F70F3E}">
  <cacheSource type="external" connectionId="1"/>
  <cacheFields count="3">
    <cacheField name="[Table2].[Region].[Region]" caption="Region" numFmtId="0" hierarchy="10" level="1">
      <sharedItems count="4">
        <s v="East"/>
        <s v="North"/>
        <s v="South"/>
        <s v="West"/>
      </sharedItems>
    </cacheField>
    <cacheField name="[Measures].[Sum of Shipping Fee]" caption="Sum of Shipping Fee" numFmtId="0" hierarchy="35" level="32767"/>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fieldsUsage count="2">
        <fieldUsage x="-1"/>
        <fieldUsage x="0"/>
      </fieldsUsage>
    </cacheHierarchy>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5335648" backgroundQuery="1" createdVersion="7" refreshedVersion="7" minRefreshableVersion="3" recordCount="0" supportSubquery="1" supportAdvancedDrill="1" xr:uid="{D5835FCF-17F1-432F-AAA3-2716A0A7D557}">
  <cacheSource type="external" connectionId="1"/>
  <cacheFields count="5">
    <cacheField name="[Table2].[Ship State].[Ship State]" caption="Ship State" numFmtId="0" hierarchy="16" level="1">
      <sharedItems count="1">
        <s v="CA"/>
      </sharedItems>
    </cacheField>
    <cacheField name="[Table2].[Shipper_Name].[Shipper_Name]" caption="Shipper_Name" numFmtId="0" hierarchy="12" level="1">
      <sharedItems count="4">
        <s v="Shipping Company A"/>
        <s v="Shipping Company B"/>
        <s v="Shipping Company C"/>
        <s v="Unavailable"/>
      </sharedItems>
    </cacheField>
    <cacheField name="[Measures].[Sum of Shipping Fee]" caption="Sum of Shipping Fee" numFmtId="0" hierarchy="35" level="32767"/>
    <cacheField name="[Measures].[Count of Order ID]" caption="Count of Order ID" numFmtId="0" hierarchy="42" level="32767"/>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4"/>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fieldsUsage count="2">
        <fieldUsage x="-1"/>
        <fieldUsage x="1"/>
      </fieldsUsage>
    </cacheHierarchy>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2" memberValueDatatype="130" unbalanced="0">
      <fieldsUsage count="2">
        <fieldUsage x="-1"/>
        <fieldUsage x="0"/>
      </fieldsUsage>
    </cacheHierarchy>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53935187" backgroundQuery="1" createdVersion="7" refreshedVersion="7" minRefreshableVersion="3" recordCount="0" supportSubquery="1" supportAdvancedDrill="1" xr:uid="{4DFD23E9-4DAD-4B22-B5AE-822CBA6927F9}">
  <cacheSource type="external" connectionId="1"/>
  <cacheFields count="2">
    <cacheField name="[Table2].[Salesperson].[Salesperson]" caption="Salesperson" numFmtId="0" hierarchy="9" level="1">
      <sharedItems count="8">
        <s v="Andrew Cencini"/>
        <s v="Anne Larsen"/>
        <s v="Jan Kotas"/>
        <s v="Laura Giussani"/>
        <s v="Mariya Sergienko"/>
        <s v="Michael Neipper"/>
        <s v="Nancy Freehafer"/>
        <s v="Robert Zare"/>
      </sharedItems>
    </cacheField>
    <cacheField name="[Measures].[Sum of Order ID]" caption="Sum of Order ID" numFmtId="0" hierarchy="36" level="32767"/>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0"/>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64120371" backgroundQuery="1" createdVersion="7" refreshedVersion="7" minRefreshableVersion="3" recordCount="0" supportSubquery="1" supportAdvancedDrill="1" xr:uid="{0FA2B3A5-1B80-48F2-8197-73CCBC9FD73E}">
  <cacheSource type="external" connectionId="1"/>
  <cacheFields count="4">
    <cacheField name="[Table2].[Customer Name].[Customer Name]" caption="Customer Name" numFmtId="0" hierarchy="3" level="1">
      <sharedItems count="15">
        <s v="Company A"/>
        <s v="Company AA"/>
        <s v="Company BB"/>
        <s v="Company C"/>
        <s v="Company CC"/>
        <s v="Company D"/>
        <s v="Company F"/>
        <s v="Company G"/>
        <s v="Company H"/>
        <s v="Company I"/>
        <s v="Company J"/>
        <s v="Company K"/>
        <s v="Company L"/>
        <s v="Company Y"/>
        <s v="Company Z"/>
      </sharedItems>
    </cacheField>
    <cacheField name="[Table2].[State].[State]" caption="State" numFmtId="0" hierarchy="6" level="1">
      <sharedItems count="12">
        <s v="WA"/>
        <s v="NV"/>
        <s v="TN"/>
        <s v="CA"/>
        <s v="CO"/>
        <s v="NY"/>
        <s v="WI"/>
        <s v="ID"/>
        <s v="OR"/>
        <s v="UT"/>
        <s v="IL"/>
        <s v="FL"/>
      </sharedItems>
    </cacheField>
    <cacheField name="[Measures].[Sum of Revenue]" caption="Sum of Revenue" numFmtId="0" hierarchy="33" level="32767"/>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fieldsUsage count="2">
        <fieldUsage x="-1"/>
        <fieldUsage x="0"/>
      </fieldsUsage>
    </cacheHierarchy>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fieldsUsage count="2">
        <fieldUsage x="-1"/>
        <fieldUsage x="1"/>
      </fieldsUsage>
    </cacheHierarchy>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3"/>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66435188" backgroundQuery="1" createdVersion="7" refreshedVersion="7" minRefreshableVersion="3" recordCount="0" supportSubquery="1" supportAdvancedDrill="1" xr:uid="{B57F7A2B-2F0C-4CF4-A11B-8074BE318490}">
  <cacheSource type="external" connectionId="1"/>
  <cacheFields count="4">
    <cacheField name="[Table2].[Customer Segmentation].[Customer Segmentation]" caption="Customer Segmentation" numFmtId="0" hierarchy="28" level="1">
      <sharedItems count="3">
        <s v="High_Spender"/>
        <s v="Low_Spender"/>
        <s v="Middle_Spender"/>
      </sharedItems>
    </cacheField>
    <cacheField name="[Measures].[Sum of Revenue]" caption="Sum of Revenue" numFmtId="0" hierarchy="33" level="32767"/>
    <cacheField name="[Table2].[Customer Name].[Customer Name]" caption="Customer Name" numFmtId="0" hierarchy="3" level="1">
      <sharedItems count="15">
        <s v="Company A"/>
        <s v="Company D"/>
        <s v="Company F"/>
        <s v="Company G"/>
        <s v="Company H"/>
        <s v="Company J"/>
        <s v="Company K"/>
        <s v="Company L"/>
        <s v="Company AA"/>
        <s v="Company BB"/>
        <s v="Company C"/>
        <s v="Company CC"/>
        <s v="Company I"/>
        <s v="Company Y"/>
        <s v="Company Z"/>
      </sharedItems>
    </cacheField>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fieldsUsage count="2">
        <fieldUsage x="-1"/>
        <fieldUsage x="2"/>
      </fieldsUsage>
    </cacheHierarchy>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3"/>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2" memberValueDatatype="130" unbalanced="0">
      <fieldsUsage count="2">
        <fieldUsage x="-1"/>
        <fieldUsage x="0"/>
      </fieldsUsage>
    </cacheHierarchy>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68171297" backgroundQuery="1" createdVersion="7" refreshedVersion="7" minRefreshableVersion="3" recordCount="0" supportSubquery="1" supportAdvancedDrill="1" xr:uid="{76A398F9-71C8-4C5E-8862-5F243696742B}">
  <cacheSource type="external" connectionId="1"/>
  <cacheFields count="3">
    <cacheField name="[Measures].[Sum of Revenue]" caption="Sum of Revenue" numFmtId="0" hierarchy="33" level="32767"/>
    <cacheField name="[Table2].[City].[City]" caption="City" numFmtId="0" hierarchy="5" level="1">
      <sharedItems count="12">
        <s v="Boise"/>
        <s v="Chicago"/>
        <s v="Denver"/>
        <s v="Las Vegas"/>
        <s v="Los Angelas"/>
        <s v="Memphis"/>
        <s v="Miami"/>
        <s v="Milwaukee"/>
        <s v="New York"/>
        <s v="Portland"/>
        <s v="Salt Lake City"/>
        <s v="Seattle"/>
      </sharedItems>
    </cacheField>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1"/>
      </fieldsUsage>
    </cacheHierarchy>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69907406" backgroundQuery="1" createdVersion="7" refreshedVersion="7" minRefreshableVersion="3" recordCount="0" supportSubquery="1" supportAdvancedDrill="1" xr:uid="{F2C17B2D-024E-4D31-ACB1-9DC4E1E8967F}">
  <cacheSource type="external" connectionId="1"/>
  <cacheFields count="3">
    <cacheField name="[Measures].[Sum of Order ID]" caption="Sum of Order ID" numFmtId="0" hierarchy="36" level="32767"/>
    <cacheField name="[Table2].[State].[State]" caption="State" numFmtId="0" hierarchy="6" level="1">
      <sharedItems count="12">
        <s v="CA"/>
        <s v="CO"/>
        <s v="FL"/>
        <s v="ID"/>
        <s v="IL"/>
        <s v="NV"/>
        <s v="NY"/>
        <s v="OR"/>
        <s v="TN"/>
        <s v="UT"/>
        <s v="WA"/>
        <s v="WI"/>
      </sharedItems>
    </cacheField>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fieldsUsage count="2">
        <fieldUsage x="-1"/>
        <fieldUsage x="1"/>
      </fieldsUsage>
    </cacheHierarchy>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71990738" backgroundQuery="1" createdVersion="7" refreshedVersion="7" minRefreshableVersion="3" recordCount="0" supportSubquery="1" supportAdvancedDrill="1" xr:uid="{A4D57A59-41BE-48A1-9742-187A09E33337}">
  <cacheSource type="external" connectionId="1"/>
  <cacheFields count="3">
    <cacheField name="[Measures].[Sum of Order ID]" caption="Sum of Order ID" numFmtId="0" hierarchy="36" level="32767"/>
    <cacheField name="[Table2].[City].[City]" caption="City" numFmtId="0" hierarchy="5" level="1">
      <sharedItems count="12">
        <s v="Boise"/>
        <s v="Chicago"/>
        <s v="Denver"/>
        <s v="Las Vegas"/>
        <s v="Los Angelas"/>
        <s v="Memphis"/>
        <s v="Miami"/>
        <s v="Milwaukee"/>
        <s v="New York"/>
        <s v="Portland"/>
        <s v="Salt Lake City"/>
        <s v="Seattle"/>
      </sharedItems>
    </cacheField>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1"/>
      </fieldsUsage>
    </cacheHierarchy>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74189816" backgroundQuery="1" createdVersion="7" refreshedVersion="7" minRefreshableVersion="3" recordCount="0" supportSubquery="1" supportAdvancedDrill="1" xr:uid="{BBA1FCE3-B509-4ED5-B3AB-3C330373A219}">
  <cacheSource type="external" connectionId="1"/>
  <cacheFields count="5">
    <cacheField name="[Table2].[Shipper_Name].[Shipper_Name]" caption="Shipper_Name" numFmtId="0" hierarchy="12" level="1">
      <sharedItems count="4">
        <s v="Shipping Company A"/>
        <s v="Shipping Company B"/>
        <s v="Shipping Company C"/>
        <s v="Unavailable"/>
      </sharedItems>
    </cacheField>
    <cacheField name="[Table2].[State].[State]" caption="State" numFmtId="0" hierarchy="6" level="1">
      <sharedItems containsSemiMixedTypes="0" containsNonDate="0" containsString="0"/>
    </cacheField>
    <cacheField name="[Measures].[Count of Delivery Time]" caption="Count of Delivery Time" numFmtId="0" hierarchy="41" level="32767"/>
    <cacheField name="[Table2].[Day].[Day]" caption="Day" numFmtId="0" hierarchy="26" level="1">
      <sharedItems count="7">
        <s v="Thu"/>
        <s v="Tue"/>
        <s v="Wed"/>
        <s v="Fri"/>
        <s v="Mon"/>
        <s v="Sat"/>
        <s v="Sun"/>
      </sharedItems>
    </cacheField>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fieldsUsage count="2">
        <fieldUsage x="-1"/>
        <fieldUsage x="1"/>
      </fieldsUsage>
    </cacheHierarchy>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4"/>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fieldsUsage count="2">
        <fieldUsage x="-1"/>
        <fieldUsage x="0"/>
      </fieldsUsage>
    </cacheHierarchy>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2" memberValueDatatype="130" unbalanced="0">
      <fieldsUsage count="2">
        <fieldUsage x="-1"/>
        <fieldUsage x="3"/>
      </fieldsUsage>
    </cacheHierarchy>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oneField="1" hidden="1">
      <fieldsUsage count="1">
        <fieldUsage x="2"/>
      </fieldsUsage>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75347225" backgroundQuery="1" createdVersion="7" refreshedVersion="7" minRefreshableVersion="3" recordCount="0" supportSubquery="1" supportAdvancedDrill="1" xr:uid="{66AA2874-830C-4DC6-BEA7-127B1E7B938D}">
  <cacheSource type="external" connectionId="1"/>
  <cacheFields count="3">
    <cacheField name="[Table2].[Payment_Type].[Payment_Type]" caption="Payment_Type" numFmtId="0" hierarchy="19" level="1">
      <sharedItems count="3">
        <s v="Cash"/>
        <s v="Check"/>
        <s v="Credit Card"/>
      </sharedItems>
    </cacheField>
    <cacheField name="[Measures].[Count of Customer Name]" caption="Count of Customer Name" numFmtId="0" hierarchy="37" level="32767"/>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fieldsUsage count="2">
        <fieldUsage x="-1"/>
        <fieldUsage x="0"/>
      </fieldsUsage>
    </cacheHierarchy>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76504633" backgroundQuery="1" createdVersion="7" refreshedVersion="7" minRefreshableVersion="3" recordCount="0" supportSubquery="1" supportAdvancedDrill="1" xr:uid="{EBDFC04F-4827-4ACB-B0E4-6E0CC720F075}">
  <cacheSource type="external" connectionId="1"/>
  <cacheFields count="4">
    <cacheField name="[Measures].[Sum of Revenue]" caption="Sum of Revenue" numFmtId="0" hierarchy="33" level="32767"/>
    <cacheField name="[Table2].[Region].[Region]" caption="Region" numFmtId="0" hierarchy="10" level="1">
      <sharedItems count="4">
        <s v="East"/>
        <s v="North"/>
        <s v="South"/>
        <s v="West"/>
      </sharedItems>
    </cacheField>
    <cacheField name="[Table2].[Week Status].[Week Status]" caption="Week Status" numFmtId="0" hierarchy="30" level="1">
      <sharedItems count="2">
        <s v="Weekday"/>
        <s v="Weekend"/>
      </sharedItems>
    </cacheField>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3"/>
      </fieldsUsage>
    </cacheHierarchy>
    <cacheHierarchy uniqueName="[Table2].[Region]" caption="Region" attribute="1" defaultMemberUniqueName="[Table2].[Region].[All]" allUniqueName="[Table2].[Region].[All]" dimensionUniqueName="[Table2]" displayFolder="" count="2" memberValueDatatype="130" unbalanced="0">
      <fieldsUsage count="2">
        <fieldUsage x="-1"/>
        <fieldUsage x="1"/>
      </fieldsUsage>
    </cacheHierarchy>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2" memberValueDatatype="130" unbalanced="0">
      <fieldsUsage count="2">
        <fieldUsage x="-1"/>
        <fieldUsage x="2"/>
      </fieldsUsage>
    </cacheHierarchy>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78125003" backgroundQuery="1" createdVersion="7" refreshedVersion="7" minRefreshableVersion="3" recordCount="0" supportSubquery="1" supportAdvancedDrill="1" xr:uid="{2414A402-F7D0-4D80-AAC7-341C5C7AA11F}">
  <cacheSource type="external" connectionId="1"/>
  <cacheFields count="3">
    <cacheField name="[Measures].[Count of Delivery Time]" caption="Count of Delivery Time" numFmtId="0" hierarchy="41" level="32767"/>
    <cacheField name="[Table2].[Day].[Day]" caption="Day" numFmtId="0" hierarchy="26" level="1">
      <sharedItems count="7">
        <s v="Fri"/>
        <s v="Mon"/>
        <s v="Sat"/>
        <s v="Sun"/>
        <s v="Thu"/>
        <s v="Tue"/>
        <s v="Wed"/>
      </sharedItems>
    </cacheField>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2" memberValueDatatype="130" unbalanced="0">
      <fieldsUsage count="2">
        <fieldUsage x="-1"/>
        <fieldUsage x="1"/>
      </fieldsUsage>
    </cacheHierarchy>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78935189" backgroundQuery="1" createdVersion="7" refreshedVersion="7" minRefreshableVersion="3" recordCount="0" supportSubquery="1" supportAdvancedDrill="1" xr:uid="{D4957E75-626B-43D1-903A-BACC508E4D11}">
  <cacheSource type="external" connectionId="1"/>
  <cacheFields count="3">
    <cacheField name="[Measures].[Sum of Revenue]" caption="Sum of Revenue" numFmtId="0" hierarchy="33" level="32767"/>
    <cacheField name="[Table2].[Region].[Region]" caption="Region" numFmtId="0" hierarchy="10" level="1">
      <sharedItems count="4">
        <s v="East"/>
        <s v="North"/>
        <s v="South"/>
        <s v="West"/>
      </sharedItems>
    </cacheField>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fieldsUsage count="2">
        <fieldUsage x="-1"/>
        <fieldUsage x="1"/>
      </fieldsUsage>
    </cacheHierarchy>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80787036" backgroundQuery="1" createdVersion="7" refreshedVersion="7" minRefreshableVersion="3" recordCount="0" supportSubquery="1" supportAdvancedDrill="1" xr:uid="{2A405CF8-DB62-4FCE-B807-D78E7C6D8F41}">
  <cacheSource type="external" connectionId="1"/>
  <cacheFields count="3">
    <cacheField name="[Table2].[Payment_Type].[Payment_Type]" caption="Payment_Type" numFmtId="0" hierarchy="19" level="1">
      <sharedItems count="3">
        <s v="Cash"/>
        <s v="Check"/>
        <s v="Credit Card"/>
      </sharedItems>
    </cacheField>
    <cacheField name="[Measures].[Count of Order Date]" caption="Count of Order Date" numFmtId="0" hierarchy="39" level="32767"/>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fieldsUsage count="2">
        <fieldUsage x="-1"/>
        <fieldUsage x="0"/>
      </fieldsUsage>
    </cacheHierarchy>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82638891" backgroundQuery="1" createdVersion="7" refreshedVersion="7" minRefreshableVersion="3" recordCount="0" supportSubquery="1" supportAdvancedDrill="1" xr:uid="{6BBE1080-6F13-4EE5-917C-154018F3625E}">
  <cacheSource type="external" connectionId="1"/>
  <cacheFields count="3">
    <cacheField name="[Measures].[Sum of Revenue]" caption="Sum of Revenue" numFmtId="0" hierarchy="33" level="32767"/>
    <cacheField name="[Table2].[Customer Name].[Customer Name]" caption="Customer Name" numFmtId="0" hierarchy="3" level="1">
      <sharedItems count="15">
        <s v="Company A"/>
        <s v="Company AA"/>
        <s v="Company BB"/>
        <s v="Company C"/>
        <s v="Company CC"/>
        <s v="Company D"/>
        <s v="Company F"/>
        <s v="Company G"/>
        <s v="Company H"/>
        <s v="Company I"/>
        <s v="Company J"/>
        <s v="Company K"/>
        <s v="Company L"/>
        <s v="Company Y"/>
        <s v="Company Z"/>
      </sharedItems>
    </cacheField>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fieldsUsage count="2">
        <fieldUsage x="-1"/>
        <fieldUsage x="1"/>
      </fieldsUsage>
    </cacheHierarchy>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84606485" backgroundQuery="1" createdVersion="7" refreshedVersion="7" minRefreshableVersion="3" recordCount="0" supportSubquery="1" supportAdvancedDrill="1" xr:uid="{59C41382-3DCE-4982-9589-A09F901E51F9}">
  <cacheSource type="external" connectionId="1"/>
  <cacheFields count="4">
    <cacheField name="[Measures].[Sum of Revenue]" caption="Sum of Revenue" numFmtId="0" hierarchy="33" level="32767"/>
    <cacheField name="[Table2].[Payment_Type].[Payment_Type]" caption="Payment_Type" numFmtId="0" hierarchy="19" level="1">
      <sharedItems count="3">
        <s v="Cash"/>
        <s v="Check"/>
        <s v="Credit Card"/>
      </sharedItems>
    </cacheField>
    <cacheField name="[Table2].[Salesperson].[Salesperson]" caption="Salesperson" numFmtId="0" hierarchy="9" level="1">
      <sharedItems containsSemiMixedTypes="0" containsNonDate="0" containsString="0"/>
    </cacheField>
    <cacheField name="Dummy0" numFmtId="0" hierarchy="43" level="32767">
      <extLst>
        <ext xmlns:x14="http://schemas.microsoft.com/office/spreadsheetml/2009/9/main" uri="{63CAB8AC-B538-458d-9737-405883B0398D}">
          <x14:cacheField ignore="1"/>
        </ext>
      </extLst>
    </cacheField>
  </cacheFields>
  <cacheHierarchies count="44">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fieldsUsage count="2">
        <fieldUsage x="-1"/>
        <fieldUsage x="1"/>
      </fieldsUsage>
    </cacheHierarchy>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y uniqueName="Dummy0" caption="Order 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8703704" backgroundQuery="1" createdVersion="7" refreshedVersion="7" minRefreshableVersion="3" recordCount="0" supportSubquery="1" supportAdvancedDrill="1" xr:uid="{23C9D683-68EA-4D22-8868-8A431493E7A3}">
  <cacheSource type="external" connectionId="1"/>
  <cacheFields count="3">
    <cacheField name="[Measures].[Sum of Revenue]" caption="Sum of Revenue" numFmtId="0" hierarchy="33" level="32767"/>
    <cacheField name="[Table2].[Product_Name].[Product_Name]" caption="Product_Name" numFmtId="0" hierarchy="20" level="1">
      <sharedItems count="5">
        <s v="Chocolate"/>
        <s v="Coffee"/>
        <s v="Curry Sauce"/>
        <s v="Dried Apples"/>
        <s v="Dried Pears"/>
      </sharedItems>
    </cacheField>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2" memberValueDatatype="130" unbalanced="0">
      <fieldsUsage count="2">
        <fieldUsage x="-1"/>
        <fieldUsage x="1"/>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89467596" backgroundQuery="1" createdVersion="7" refreshedVersion="7" minRefreshableVersion="3" recordCount="0" supportSubquery="1" supportAdvancedDrill="1" xr:uid="{A93570AF-333A-4981-9CEA-DABB2A05DE5A}">
  <cacheSource type="external" connectionId="1"/>
  <cacheFields count="3">
    <cacheField name="[Measures].[Sum of Revenue]" caption="Sum of Revenue" numFmtId="0" hierarchy="33" level="32767"/>
    <cacheField name="[Table2].[Category].[Category]" caption="Category" numFmtId="0" hierarchy="21" level="1">
      <sharedItems count="10">
        <s v="Baked Goods &amp; Mixes"/>
        <s v="Beverages"/>
        <s v="Candy"/>
        <s v="Canned Meat"/>
        <s v="Condiments"/>
        <s v="Dairy Products"/>
        <s v="Dried Fruit &amp; Nuts"/>
        <s v="Jams, Preserves"/>
        <s v="Pasta"/>
        <s v="Sauces"/>
      </sharedItems>
    </cacheField>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1"/>
      </fieldsUsage>
    </cacheHierarchy>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91550928" backgroundQuery="1" createdVersion="7" refreshedVersion="7" minRefreshableVersion="3" recordCount="0" supportSubquery="1" supportAdvancedDrill="1" xr:uid="{E6AF4B2D-8398-4728-8251-E9B1BB87348D}">
  <cacheSource type="external" connectionId="1"/>
  <cacheFields count="5">
    <cacheField name="[Measures].[Sum of Revenue]" caption="Sum of Revenue" numFmtId="0" hierarchy="33" level="32767"/>
    <cacheField name="[Table2].[Category].[Category]" caption="Category" numFmtId="0" hierarchy="21" level="1">
      <sharedItems count="14">
        <s v="Baked Goods &amp; Mixes"/>
        <s v="Beverages"/>
        <s v="Candy"/>
        <s v="Canned Meat"/>
        <s v="Condiments"/>
        <s v="Dairy Products"/>
        <s v="Dried Fruit &amp; Nuts"/>
        <s v="Fruit &amp; Veg"/>
        <s v="Grains"/>
        <s v="Jams, Preserves"/>
        <s v="Oil"/>
        <s v="Pasta"/>
        <s v="Sauces"/>
        <s v="Soups"/>
      </sharedItems>
    </cacheField>
    <cacheField name="[Table2].[Region].[Region]" caption="Region" numFmtId="0" hierarchy="10" level="1">
      <sharedItems count="4">
        <s v="East"/>
        <s v="North"/>
        <s v="South"/>
        <s v="West"/>
      </sharedItems>
    </cacheField>
    <cacheField name="[Measures].[Sum of Quantity]" caption="Sum of Quantity" numFmtId="0" hierarchy="34" level="32767"/>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4"/>
      </fieldsUsage>
    </cacheHierarchy>
    <cacheHierarchy uniqueName="[Table2].[Region]" caption="Region" attribute="1" defaultMemberUniqueName="[Table2].[Region].[All]" allUniqueName="[Table2].[Region].[All]" dimensionUniqueName="[Table2]" displayFolder="" count="2" memberValueDatatype="130" unbalanced="0">
      <fieldsUsage count="2">
        <fieldUsage x="-1"/>
        <fieldUsage x="2"/>
      </fieldsUsage>
    </cacheHierarchy>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1"/>
      </fieldsUsage>
    </cacheHierarchy>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93518521" backgroundQuery="1" createdVersion="7" refreshedVersion="7" minRefreshableVersion="3" recordCount="0" supportSubquery="1" supportAdvancedDrill="1" xr:uid="{72FBF1E0-A324-40A8-A3A2-996F0AD73205}">
  <cacheSource type="external" connectionId="1"/>
  <cacheFields count="4">
    <cacheField name="[Measures].[Sum of Revenue]" caption="Sum of Revenue" numFmtId="0" hierarchy="33" level="32767"/>
    <cacheField name="[Table2].[Day].[Day]" caption="Day" numFmtId="0" hierarchy="26" level="1">
      <sharedItems count="7">
        <s v="Fri"/>
        <s v="Mon"/>
        <s v="Sat"/>
        <s v="Sun"/>
        <s v="Thu"/>
        <s v="Tue"/>
        <s v="Wed"/>
      </sharedItems>
    </cacheField>
    <cacheField name="[Table2].[Customer Name].[Customer Name]" caption="Customer Name" numFmtId="0" hierarchy="3" level="1">
      <sharedItems count="15">
        <s v="Company L"/>
        <s v="Company Z"/>
        <s v="Company A"/>
        <s v="Company CC"/>
        <s v="Company H"/>
        <s v="Company AA"/>
        <s v="Company F"/>
        <s v="Company BB"/>
        <s v="Company G"/>
        <s v="Company D"/>
        <s v="Company K"/>
        <s v="Company Y"/>
        <s v="Company I"/>
        <s v="Company C"/>
        <s v="Company J"/>
      </sharedItems>
    </cacheField>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fieldsUsage count="2">
        <fieldUsage x="-1"/>
        <fieldUsage x="2"/>
      </fieldsUsage>
    </cacheHierarchy>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3"/>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2" memberValueDatatype="130" unbalanced="0">
      <fieldsUsage count="2">
        <fieldUsage x="-1"/>
        <fieldUsage x="1"/>
      </fieldsUsage>
    </cacheHierarchy>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95601854" backgroundQuery="1" createdVersion="7" refreshedVersion="7" minRefreshableVersion="3" recordCount="0" supportSubquery="1" supportAdvancedDrill="1" xr:uid="{E178574E-4A8F-40DD-96F6-8FEFB324CFB7}">
  <cacheSource type="external" connectionId="1"/>
  <cacheFields count="5">
    <cacheField name="[Measures].[Sum of Revenue]" caption="Sum of Revenue" numFmtId="0" hierarchy="33" level="32767"/>
    <cacheField name="[Table2].[State].[State]" caption="State" numFmtId="0" hierarchy="6" level="1">
      <sharedItems count="1">
        <s v="CA"/>
      </sharedItems>
    </cacheField>
    <cacheField name="[Measures].[Sum of Quantity]" caption="Sum of Quantity" numFmtId="0" hierarchy="34" level="32767"/>
    <cacheField name="[Table2].[Product_Name].[Product_Name]" caption="Product_Name" numFmtId="0" hierarchy="20" level="1">
      <sharedItems count="4">
        <s v="Clam Chowder"/>
        <s v="Curry Sauce"/>
        <s v="Green Tea"/>
        <s v="Syrup"/>
      </sharedItems>
    </cacheField>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fieldsUsage count="2">
        <fieldUsage x="-1"/>
        <fieldUsage x="1"/>
      </fieldsUsage>
    </cacheHierarchy>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4"/>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2" memberValueDatatype="130" unbalanced="0">
      <fieldsUsage count="2">
        <fieldUsage x="-1"/>
        <fieldUsage x="3"/>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96875001" backgroundQuery="1" createdVersion="7" refreshedVersion="7" minRefreshableVersion="3" recordCount="0" supportSubquery="1" supportAdvancedDrill="1" xr:uid="{83C6166E-0B2B-4DC0-947F-CA95E2274196}">
  <cacheSource type="external" connectionId="1"/>
  <cacheFields count="3">
    <cacheField name="[Table2].[Day].[Day]" caption="Day" numFmtId="0" hierarchy="26" level="1">
      <sharedItems count="7">
        <s v="Fri"/>
        <s v="Mon"/>
        <s v="Sat"/>
        <s v="Sun"/>
        <s v="Thu"/>
        <s v="Tue"/>
        <s v="Wed"/>
      </sharedItems>
    </cacheField>
    <cacheField name="[Measures].[Sum of Revenue]" caption="Sum of Revenue" numFmtId="0" hierarchy="33" level="32767"/>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2" memberValueDatatype="130" unbalanced="0">
      <fieldsUsage count="2">
        <fieldUsage x="-1"/>
        <fieldUsage x="0"/>
      </fieldsUsage>
    </cacheHierarchy>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099074072" backgroundQuery="1" createdVersion="7" refreshedVersion="7" minRefreshableVersion="3" recordCount="0" supportSubquery="1" supportAdvancedDrill="1" xr:uid="{7ED42CA0-9C87-4813-90B9-6D9E7C983C6E}">
  <cacheSource type="external" connectionId="1"/>
  <cacheFields count="3">
    <cacheField name="[Table2].[State].[State]" caption="State" numFmtId="0" hierarchy="6" level="1">
      <sharedItems count="12">
        <s v="CA"/>
        <s v="CO"/>
        <s v="FL"/>
        <s v="ID"/>
        <s v="IL"/>
        <s v="NV"/>
        <s v="NY"/>
        <s v="OR"/>
        <s v="TN"/>
        <s v="UT"/>
        <s v="WA"/>
        <s v="WI"/>
      </sharedItems>
    </cacheField>
    <cacheField name="[Measures].[Count of Customer Name]" caption="Count of Customer Name" numFmtId="0" hierarchy="37" level="32767"/>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fieldsUsage count="2">
        <fieldUsage x="-1"/>
        <fieldUsage x="0"/>
      </fieldsUsage>
    </cacheHierarchy>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5.454101157404" backgroundQuery="1" createdVersion="7" refreshedVersion="7" minRefreshableVersion="3" recordCount="0" supportSubquery="1" supportAdvancedDrill="1" xr:uid="{85984303-A379-451A-9238-0DC07546774B}">
  <cacheSource type="external" connectionId="1"/>
  <cacheFields count="3">
    <cacheField name="[Measures].[Sum of Revenue]" caption="Sum of Revenue" numFmtId="0" hierarchy="33" level="32767"/>
    <cacheField name="[Table2].[Product_Name].[Product_Name]" caption="Product_Name" numFmtId="0" hierarchy="20" level="1">
      <sharedItems count="24">
        <s v="Almonds"/>
        <s v="Beer"/>
        <s v="Boysenberry Spread"/>
        <s v="Cajun Seasoning"/>
        <s v="Chai"/>
        <s v="Chocolate"/>
        <s v="Chocolate Biscuits Mix"/>
        <s v="Clam Chowder"/>
        <s v="Coffee"/>
        <s v="Crab Meat"/>
        <s v="Curry Sauce"/>
        <s v="Dried Apples"/>
        <s v="Dried Pears"/>
        <s v="Dried Plums"/>
        <s v="Fruit Cocktail"/>
        <s v="Gnocchi"/>
        <s v="Green Tea"/>
        <s v="Long Grain Rice"/>
        <s v="Marmalade"/>
        <s v="Mozzarella"/>
        <s v="Olive Oil"/>
        <s v="Ravioli"/>
        <s v="Scones"/>
        <s v="Syrup"/>
      </sharedItems>
    </cacheField>
    <cacheField name="[Table2].[Salesperson].[Salesperson]" caption="Salesperson" numFmtId="0" hierarchy="9" level="1">
      <sharedItems containsSemiMixedTypes="0" containsNonDate="0" containsString="0"/>
    </cacheField>
  </cacheFields>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fieldsUsage count="2">
        <fieldUsage x="-1"/>
        <fieldUsage x="2"/>
      </fieldsUsage>
    </cacheHierarchy>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2" memberValueDatatype="130" unbalanced="0">
      <fieldsUsage count="2">
        <fieldUsage x="-1"/>
        <fieldUsage x="1"/>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3.723032060188" backgroundQuery="1" createdVersion="3" refreshedVersion="7" minRefreshableVersion="3" recordCount="0" supportSubquery="1" supportAdvancedDrill="1" xr:uid="{61DEBEC8-433C-48B7-BE5E-8A1DB2752CDF}">
  <cacheSource type="external" connectionId="1">
    <extLst>
      <ext xmlns:x14="http://schemas.microsoft.com/office/spreadsheetml/2009/9/main" uri="{F057638F-6D5F-4e77-A914-E7F072B9BCA8}">
        <x14:sourceConnection name="ThisWorkbookDataModel"/>
      </ext>
    </extLst>
  </cacheSource>
  <cacheFields count="0"/>
  <cacheHierarchies count="43">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ZIP/Postal Code]" caption="ZIP/Postal Code" attribute="1" defaultMemberUniqueName="[Table2].[ZIP/Postal Code].[All]" allUniqueName="[Table2].[ZIP/Postal Code].[All]" dimensionUniqueName="[Table2]" displayFolder="" count="0" memberValueDatatype="20" unbalanced="0"/>
    <cacheHierarchy uniqueName="[Table2].[Country/Region]" caption="Country/Region" attribute="1" defaultMemberUniqueName="[Table2].[Country/Region].[All]" allUniqueName="[Table2].[Country/Region].[All]" dimensionUniqueName="[Table2]" displayFolder="" count="0" memberValueDatatype="130" unbalanced="0"/>
    <cacheHierarchy uniqueName="[Table2].[Salesperson]" caption="Salesperson" attribute="1" defaultMemberUniqueName="[Table2].[Salesperson].[All]" allUniqueName="[Table2].[Salesperson].[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Shipped_Date]" caption="Shipped_Date" attribute="1" time="1" defaultMemberUniqueName="[Table2].[Shipped_Date].[All]" allUniqueName="[Table2].[Shipped_Date].[All]" dimensionUniqueName="[Table2]" displayFolder="" count="0" memberValueDatatype="7" unbalanced="0"/>
    <cacheHierarchy uniqueName="[Table2].[Shipper_Name]" caption="Shipper_Name" attribute="1" defaultMemberUniqueName="[Table2].[Shipper_Name].[All]" allUniqueName="[Table2].[Shipper_Name].[All]" dimensionUniqueName="[Table2]" displayFolder="" count="2" memberValueDatatype="130" unbalanced="0"/>
    <cacheHierarchy uniqueName="[Table2].[Ship Name]" caption="Ship Name" attribute="1" defaultMemberUniqueName="[Table2].[Ship Name].[All]" allUniqueName="[Table2].[Ship Name].[All]" dimensionUniqueName="[Table2]" displayFolder="" count="0" memberValueDatatype="130" unbalanced="0"/>
    <cacheHierarchy uniqueName="[Table2].[Ship Address]" caption="Ship Address" attribute="1" defaultMemberUniqueName="[Table2].[Ship Address].[All]" allUniqueName="[Table2].[Ship Address].[All]" dimensionUniqueName="[Table2]" displayFolder="" count="0" memberValueDatatype="130" unbalanced="0"/>
    <cacheHierarchy uniqueName="[Table2].[Ship City]" caption="Ship City" attribute="1" defaultMemberUniqueName="[Table2].[Ship City].[All]" allUniqueName="[Table2].[Ship City].[All]" dimensionUniqueName="[Table2]" displayFolder="" count="0" memberValueDatatype="130" unbalanced="0"/>
    <cacheHierarchy uniqueName="[Table2].[Ship State]" caption="Ship State" attribute="1" defaultMemberUniqueName="[Table2].[Ship State].[All]" allUniqueName="[Table2].[Ship State].[All]" dimensionUniqueName="[Table2]" displayFolder="" count="0" memberValueDatatype="130" unbalanced="0"/>
    <cacheHierarchy uniqueName="[Table2].[Ship ZIP/Postal Code]" caption="Ship ZIP/Postal Code" attribute="1" defaultMemberUniqueName="[Table2].[Ship ZIP/Postal Code].[All]" allUniqueName="[Table2].[Ship ZIP/Postal Code].[All]" dimensionUniqueName="[Table2]" displayFolder="" count="0" memberValueDatatype="20" unbalanced="0"/>
    <cacheHierarchy uniqueName="[Table2].[Ship Country/Region]" caption="Ship Country/Region" attribute="1" defaultMemberUniqueName="[Table2].[Ship Country/Region].[All]" allUniqueName="[Table2].[Ship Country/Region].[All]" dimensionUniqueName="[Table2]" displayFolder="" count="0" memberValueDatatype="130"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Shipping Fee]" caption="Shipping Fee" attribute="1" defaultMemberUniqueName="[Table2].[Shipping Fee].[All]" allUniqueName="[Table2].[Shipping Fee].[All]" dimensionUniqueName="[Table2]" displayFolder="" count="0" memberValueDatatype="5" unbalanced="0"/>
    <cacheHierarchy uniqueName="[Table2].[Day]" caption="Day" attribute="1" defaultMemberUniqueName="[Table2].[Day].[All]" allUniqueName="[Table2].[Day].[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Customer Segmentation]" caption="Customer Segmentation" attribute="1" defaultMemberUniqueName="[Table2].[Customer Segmentation].[All]" allUniqueName="[Table2].[Customer Segmentation].[All]" dimensionUniqueName="[Table2]" displayFolder="" count="0" memberValueDatatype="130" unbalanced="0"/>
    <cacheHierarchy uniqueName="[Table2].[Weekday]" caption="Weekday" attribute="1" defaultMemberUniqueName="[Table2].[Weekday].[All]" allUniqueName="[Table2].[Weekday].[All]" dimensionUniqueName="[Table2]" displayFolder="" count="0" memberValueDatatype="20" unbalanced="0"/>
    <cacheHierarchy uniqueName="[Table2].[Week Status]" caption="Week Status" attribute="1" defaultMemberUniqueName="[Table2].[Week Status].[All]" allUniqueName="[Table2].[Week Status].[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3"/>
        </ext>
      </extLst>
    </cacheHierarchy>
    <cacheHierarchy uniqueName="[Measures].[Sum of Shipping Fee]" caption="Sum of Shipping Fee" measure="1" displayFolder="" measureGroup="Table2" count="0" hidden="1">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Table2" count="0" hidden="1">
      <extLst>
        <ext xmlns:x15="http://schemas.microsoft.com/office/spreadsheetml/2010/11/main" uri="{B97F6D7D-B522-45F9-BDA1-12C45D357490}">
          <x15:cacheHierarchy aggregatedColumn="3"/>
        </ext>
      </extLst>
    </cacheHierarchy>
    <cacheHierarchy uniqueName="[Measures].[Count of Salesperson]" caption="Count of Salesperson" measure="1" displayFolder="" measureGroup="Table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1"/>
        </ext>
      </extLst>
    </cacheHierarchy>
    <cacheHierarchy uniqueName="[Measures].[Sum of Delivery Time]" caption="Sum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Delivery Time]" caption="Count of Delivery Time" measure="1" displayFolder="" measureGroup="Table2"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9739383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223498-EA73-47AC-A5CC-5562AE1F6A87}" name="PivotTable5" cacheId="190"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3">
  <location ref="B30:C36" firstHeaderRow="1" firstDataRow="1" firstDataCol="1"/>
  <pivotFields count="3">
    <pivotField dataField="1" compact="0" showAll="0" defaultSubtotal="0"/>
    <pivotField axis="axisRow" compact="0"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subtotalTop="0" showAll="0" dataSourceSort="1" defaultSubtotal="0" defaultAttributeDrillState="1"/>
  </pivotFields>
  <rowFields count="1">
    <field x="1"/>
  </rowFields>
  <rowItems count="6">
    <i>
      <x v="1"/>
    </i>
    <i>
      <x v="3"/>
    </i>
    <i>
      <x v="2"/>
    </i>
    <i>
      <x v="4"/>
    </i>
    <i>
      <x/>
    </i>
    <i t="grand">
      <x/>
    </i>
  </rowItems>
  <colItems count="1">
    <i/>
  </colItems>
  <dataFields count="1">
    <dataField name="Sum of Revenue" fld="0" baseField="0" baseItem="0" numFmtId="169"/>
  </dataFields>
  <formats count="4">
    <format dxfId="141">
      <pivotArea outline="0" collapsedLevelsAreSubtotals="1" fieldPosition="0"/>
    </format>
    <format dxfId="140">
      <pivotArea dataOnly="0" labelOnly="1" outline="0" axis="axisValues" fieldPosition="0"/>
    </format>
    <format dxfId="139">
      <pivotArea grandRow="1" outline="0" collapsedLevelsAreSubtotals="1" fieldPosition="0"/>
    </format>
    <format dxfId="13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0" showRowHeaders="1" showColHeaders="1" showRowStripes="0" showColStripes="0" showLastColumn="1"/>
  <filters count="1">
    <filter fld="1" type="count" id="3" iMeasureHier="33">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51F751-05FC-4C9B-9C4E-EF07C937C050}" name="PivotTable25" cacheId="175"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3">
  <location ref="B118:C126" firstHeaderRow="1" firstDataRow="1" firstDataCol="1"/>
  <pivotFields count="3">
    <pivotField dataField="1" compact="0" subtotalTop="0" showAll="0" defaultSubtotal="0"/>
    <pivotField axis="axisRow" compact="0" allDrilled="1" subtotalTop="0" showAll="0" dataSourceSort="1" defaultSubtotal="0" defaultAttributeDrillState="1">
      <items count="7">
        <item x="0"/>
        <item x="1"/>
        <item x="2"/>
        <item x="3"/>
        <item x="4"/>
        <item x="5"/>
        <item x="6"/>
      </items>
    </pivotField>
    <pivotField compact="0"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Delivery Time" fld="0" subtotal="count" baseField="0" baseItem="0"/>
  </dataField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Delivery Time"/>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B0B2F2-C325-4AAD-9AA6-9BC6297B335A}" name="PivotTable26" cacheId="205"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3">
  <location ref="E118:F126" firstHeaderRow="1" firstDataRow="1" firstDataCol="1"/>
  <pivotFields count="3">
    <pivotField axis="axisRow" compact="0" allDrilled="1" subtotalTop="0" showAll="0" dataSourceSort="1" defaultSubtotal="0" defaultAttributeDrillState="1">
      <items count="7">
        <item x="0"/>
        <item x="1"/>
        <item x="2"/>
        <item x="3"/>
        <item x="4"/>
        <item x="5"/>
        <item x="6"/>
      </items>
    </pivotField>
    <pivotField dataField="1" compact="0" subtotalTop="0" showAll="0" defaultSubtotal="0"/>
    <pivotField compact="0"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numFmtId="168"/>
  </dataFields>
  <formats count="2">
    <format dxfId="143">
      <pivotArea outline="0" collapsedLevelsAreSubtotals="1" fieldPosition="0"/>
    </format>
    <format dxfId="142">
      <pivotArea dataOnly="0" labelOnly="1" outline="0" axis="axisValues" fieldPosition="0"/>
    </format>
  </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Delivery Time"/>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82E0E5-D23E-454A-9826-F0003F73C6ED}" name="PivotTable28" cacheId="181"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5">
  <location ref="B147:C151" firstHeaderRow="1" firstDataRow="1" firstDataCol="1"/>
  <pivotFields count="3">
    <pivotField axis="axisRow" compact="0" allDrilled="1" subtotalTop="0" showAll="0" dataSourceSort="1" defaultSubtotal="0" defaultAttributeDrillState="1">
      <items count="3">
        <item x="0"/>
        <item x="1"/>
        <item x="2"/>
      </items>
    </pivotField>
    <pivotField dataField="1" compact="0" subtotalTop="0" showAll="0" defaultSubtotal="0"/>
    <pivotField compact="0" allDrilled="1" subtotalTop="0" showAll="0" dataSourceSort="1" defaultSubtotal="0" defaultAttributeDrillState="1"/>
  </pivotFields>
  <rowFields count="1">
    <field x="0"/>
  </rowFields>
  <rowItems count="4">
    <i>
      <x/>
    </i>
    <i>
      <x v="1"/>
    </i>
    <i>
      <x v="2"/>
    </i>
    <i t="grand">
      <x/>
    </i>
  </rowItems>
  <colItems count="1">
    <i/>
  </colItems>
  <dataFields count="1">
    <dataField name="Count of Order Date" fld="1" subtotal="count" showDataAs="percentOfTotal" baseField="0" baseItem="0" numFmtId="10"/>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2"/>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837D00-3DF7-41ED-B038-FD6D9AADBEC6}" name="PivotTable8" cacheId="199"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3">
  <location ref="B3:D26" firstHeaderRow="1" firstDataRow="1" firstDataCol="2"/>
  <pivotFields count="4">
    <pivotField dataField="1" compact="0" showAll="0" defaultSubtotal="0"/>
    <pivotField axis="axisRow" compact="0" allDrilled="1" subtotalTop="0" showAll="0" nonAutoSortDefault="1" defaultSubtotal="0" defaultAttributeDrillState="1">
      <items count="7">
        <item x="4"/>
        <item x="0"/>
        <item x="1"/>
        <item x="2"/>
        <item x="3"/>
        <item x="5"/>
        <item x="6"/>
      </items>
    </pivotField>
    <pivotField axis="axisRow" compact="0" allDrilled="1" subtotalTop="0" showAll="0" dataSourceSort="1" defaultSubtotal="0" defaultAttributeDrillState="1">
      <items count="15">
        <item x="0"/>
        <item x="1"/>
        <item x="2"/>
        <item x="3"/>
        <item x="4"/>
        <item x="5"/>
        <item x="6"/>
        <item x="7"/>
        <item x="8"/>
        <item x="9"/>
        <item x="10"/>
        <item x="11"/>
        <item x="12"/>
        <item x="13"/>
        <item x="14"/>
      </items>
    </pivotField>
    <pivotField compact="0" allDrilled="1" subtotalTop="0" showAll="0" dataSourceSort="1" defaultSubtotal="0" defaultAttributeDrillState="1"/>
  </pivotFields>
  <rowFields count="2">
    <field x="1"/>
    <field x="2"/>
  </rowFields>
  <rowItems count="23">
    <i>
      <x/>
    </i>
    <i r="1">
      <x v="9"/>
    </i>
    <i r="1">
      <x v="10"/>
    </i>
    <i r="1">
      <x v="11"/>
    </i>
    <i>
      <x v="1"/>
    </i>
    <i r="1">
      <x/>
    </i>
    <i r="1">
      <x v="1"/>
    </i>
    <i>
      <x v="2"/>
    </i>
    <i r="1">
      <x v="2"/>
    </i>
    <i r="1">
      <x v="3"/>
    </i>
    <i r="1">
      <x v="4"/>
    </i>
    <i>
      <x v="3"/>
    </i>
    <i r="1">
      <x v="5"/>
    </i>
    <i r="1">
      <x v="6"/>
    </i>
    <i>
      <x v="4"/>
    </i>
    <i r="1">
      <x v="7"/>
    </i>
    <i r="1">
      <x v="8"/>
    </i>
    <i>
      <x v="5"/>
    </i>
    <i r="1">
      <x v="12"/>
    </i>
    <i>
      <x v="6"/>
    </i>
    <i r="1">
      <x v="13"/>
    </i>
    <i r="1">
      <x v="14"/>
    </i>
    <i t="grand">
      <x/>
    </i>
  </rowItems>
  <colItems count="1">
    <i/>
  </colItems>
  <dataFields count="1">
    <dataField name="Sum of Revenue" fld="0" baseField="0" baseItem="0" numFmtId="168"/>
  </dataFields>
  <formats count="1">
    <format dxfId="14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2">
    <rowHierarchyUsage hierarchyUsage="26"/>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D94F5E-0F97-4BCF-951D-1EB9E7A3CAB0}" name="PivotTable17" cacheId="148"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location ref="L3:M12" firstHeaderRow="1" firstDataRow="1" firstDataCol="1"/>
  <pivotFields count="2">
    <pivotField axis="axisRow" compact="0" allDrilled="1" showAll="0" dataSourceSort="1" defaultSubtotal="0" defaultAttributeDrillState="1">
      <items count="8">
        <item x="0"/>
        <item x="1"/>
        <item x="2"/>
        <item x="3"/>
        <item x="4"/>
        <item x="5"/>
        <item x="6"/>
        <item x="7"/>
      </items>
    </pivotField>
    <pivotField dataField="1" compact="0" subtotalTop="0" showAll="0" defaultSubtotal="0"/>
  </pivotFields>
  <rowFields count="1">
    <field x="0"/>
  </rowFields>
  <rowItems count="9">
    <i>
      <x/>
    </i>
    <i>
      <x v="1"/>
    </i>
    <i>
      <x v="2"/>
    </i>
    <i>
      <x v="3"/>
    </i>
    <i>
      <x v="4"/>
    </i>
    <i>
      <x v="5"/>
    </i>
    <i>
      <x v="6"/>
    </i>
    <i>
      <x v="7"/>
    </i>
    <i t="grand">
      <x/>
    </i>
  </rowItems>
  <colItems count="1">
    <i/>
  </colItems>
  <dataFields count="1">
    <dataField name="Sum of Order ID" fld="1" baseField="0" baseItem="0"/>
  </dataField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5"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65BA85-9957-4219-A1F6-6D9233F5F346}" name="PivotTable23" cacheId="169"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location ref="E147:F151" firstHeaderRow="1" firstDataRow="1" firstDataCol="1"/>
  <pivotFields count="3">
    <pivotField axis="axisRow" compact="0" allDrilled="1" subtotalTop="0" showAll="0" dataSourceSort="1" defaultSubtotal="0" defaultAttributeDrillState="1">
      <items count="3">
        <item x="0"/>
        <item x="1"/>
        <item x="2"/>
      </items>
    </pivotField>
    <pivotField dataField="1" compact="0" subtotalTop="0" showAll="0" defaultSubtotal="0"/>
    <pivotField compact="0" allDrilled="1" subtotalTop="0" showAll="0" dataSourceSort="1" defaultSubtotal="0" defaultAttributeDrillState="1"/>
  </pivotFields>
  <rowFields count="1">
    <field x="0"/>
  </rowFields>
  <rowItems count="4">
    <i>
      <x/>
    </i>
    <i>
      <x v="1"/>
    </i>
    <i>
      <x v="2"/>
    </i>
    <i t="grand">
      <x/>
    </i>
  </rowItems>
  <colItems count="1">
    <i/>
  </colItems>
  <dataFields count="1">
    <dataField name="Count of Customer Name" fld="1" subtotal="count" baseField="0" baseItem="0"/>
  </dataField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0450DC-8CBB-42F6-9045-9F6C71E12852}" name="PivotTable1" cacheId="124"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3">
  <location ref="I3:J12" firstHeaderRow="1" firstDataRow="1" firstDataCol="1"/>
  <pivotFields count="2">
    <pivotField axis="axisRow" compact="0" allDrilled="1"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compact="0" showAll="0" defaultSubtotal="0"/>
  </pivotFields>
  <rowFields count="1">
    <field x="0"/>
  </rowFields>
  <rowItems count="9">
    <i>
      <x v="6"/>
    </i>
    <i>
      <x/>
    </i>
    <i>
      <x v="1"/>
    </i>
    <i>
      <x v="5"/>
    </i>
    <i>
      <x v="3"/>
    </i>
    <i>
      <x v="4"/>
    </i>
    <i>
      <x v="7"/>
    </i>
    <i>
      <x v="2"/>
    </i>
    <i t="grand">
      <x/>
    </i>
  </rowItems>
  <colItems count="1">
    <i/>
  </colItems>
  <dataFields count="1">
    <dataField name="Sum of Revenue" fld="1" baseField="0" baseItem="0" numFmtId="168"/>
  </dataFields>
  <formats count="2">
    <format dxfId="146">
      <pivotArea outline="0" collapsedLevelsAreSubtotals="1" fieldPosition="0"/>
    </format>
    <format dxfId="14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8"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388A7F-5A0A-489B-B003-0C83758FC9FB}" name="PivotTable2" cacheId="157"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location ref="O2:P15" firstHeaderRow="1" firstDataRow="1" firstDataCol="1"/>
  <pivotFields count="3">
    <pivotField dataField="1" compact="0" showAll="0" defaultSubtotal="0"/>
    <pivotField axis="axisRow" compact="0" allDrilled="1" subtotalTop="0" showAll="0" dataSourceSort="1" defaultSubtotal="0" defaultAttributeDrillState="1">
      <items count="12">
        <item x="0"/>
        <item x="1"/>
        <item x="2"/>
        <item x="3"/>
        <item x="4"/>
        <item x="5"/>
        <item x="6"/>
        <item x="7"/>
        <item x="8"/>
        <item x="9"/>
        <item x="10"/>
        <item x="11"/>
      </items>
    </pivotField>
    <pivotField compact="0"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D3418F-1509-4E61-9E74-E3D577C99262}" name="PivotTable14" cacheId="139"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location ref="K29:L44" firstHeaderRow="1" firstDataRow="1" firstDataCol="1"/>
  <pivotFields count="3">
    <pivotField dataField="1" compact="0" subtotalTop="0" showAll="0" defaultSubtotal="0"/>
    <pivotField axis="axisRow" compact="0" allDrilled="1" subtotalTop="0" showAll="0" dataSourceSort="1" defaultAttributeDrillState="1">
      <items count="15">
        <item x="0"/>
        <item x="1"/>
        <item x="2"/>
        <item x="3"/>
        <item x="4"/>
        <item x="5"/>
        <item x="6"/>
        <item x="7"/>
        <item x="8"/>
        <item x="9"/>
        <item x="10"/>
        <item x="11"/>
        <item x="12"/>
        <item x="13"/>
        <item t="default"/>
      </items>
    </pivotField>
    <pivotField compact="0" allDrilled="1" subtotalTop="0" showAll="0" dataSourceSort="1" defaultAttributeDrillState="1"/>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Quantity" fld="0" baseField="0" baseItem="0"/>
  </dataField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AE24D9-7BA3-4290-BF5B-22B6749F75B3}" name="PivotTable13" cacheId="136"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7">
  <location ref="K56:M60" firstHeaderRow="0" firstDataRow="1" firstDataCol="1"/>
  <pivotFields count="4">
    <pivotField axis="axisRow" compact="0" allDrilled="1" subtotalTop="0" showAll="0" dataSourceSort="1" defaultAttributeDrillState="1">
      <items count="4">
        <item x="0"/>
        <item x="1"/>
        <item x="2"/>
        <item t="default"/>
      </items>
    </pivotField>
    <pivotField dataField="1" compact="0" subtotalTop="0" showAll="0"/>
    <pivotField dataField="1" compact="0" subtotalTop="0" showAll="0"/>
    <pivotField compact="0" allDrilled="1" subtotalTop="0" showAll="0" dataSourceSort="1" defaultAttributeDrillState="1"/>
  </pivotFields>
  <rowFields count="1">
    <field x="0"/>
  </rowFields>
  <rowItems count="4">
    <i>
      <x/>
    </i>
    <i>
      <x v="1"/>
    </i>
    <i>
      <x v="2"/>
    </i>
    <i t="grand">
      <x/>
    </i>
  </rowItems>
  <colFields count="1">
    <field x="-2"/>
  </colFields>
  <colItems count="2">
    <i>
      <x/>
    </i>
    <i i="1">
      <x v="1"/>
    </i>
  </colItems>
  <dataFields count="2">
    <dataField name="Sum of Revenue" fld="1" baseField="0" baseItem="0" numFmtId="168"/>
    <dataField name="Count of Customer Name" fld="2" subtotal="count" baseField="0" baseItem="0"/>
  </dataFields>
  <formats count="2">
    <format dxfId="148">
      <pivotArea outline="0" fieldPosition="0">
        <references count="1">
          <reference field="4294967294" count="1" selected="0">
            <x v="0"/>
          </reference>
        </references>
      </pivotArea>
    </format>
    <format dxfId="147">
      <pivotArea dataOnly="0" labelOnly="1" outline="0" fieldPosition="0">
        <references count="1">
          <reference field="4294967294" count="1">
            <x v="0"/>
          </reference>
        </references>
      </pivotArea>
    </format>
  </formats>
  <chartFormats count="2">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8A2F69-260F-498B-8A9B-2E190D4D0A0B}" name="PivotTable6" cacheId="193"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7">
  <location ref="E30:F41" firstHeaderRow="1" firstDataRow="1" firstDataCol="1"/>
  <pivotFields count="3">
    <pivotField dataField="1" compact="0" showAll="0" defaultSubtotal="0"/>
    <pivotField axis="axisRow" compact="0"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subtotalTop="0" showAll="0" dataSourceSort="1" defaultSubtotal="0" defaultAttributeDrillState="1"/>
  </pivotFields>
  <rowFields count="1">
    <field x="1"/>
  </rowFields>
  <rowItems count="11">
    <i>
      <x v="1"/>
    </i>
    <i>
      <x v="6"/>
    </i>
    <i>
      <x v="9"/>
    </i>
    <i>
      <x v="7"/>
    </i>
    <i>
      <x v="8"/>
    </i>
    <i>
      <x v="2"/>
    </i>
    <i>
      <x v="5"/>
    </i>
    <i>
      <x/>
    </i>
    <i>
      <x v="4"/>
    </i>
    <i>
      <x v="3"/>
    </i>
    <i t="grand">
      <x/>
    </i>
  </rowItems>
  <colItems count="1">
    <i/>
  </colItems>
  <dataFields count="1">
    <dataField name="Sum of Revenue" fld="0" baseField="0" baseItem="0" numFmtId="169"/>
  </dataFields>
  <formats count="3">
    <format dxfId="151">
      <pivotArea outline="0" collapsedLevelsAreSubtotals="1" fieldPosition="0"/>
    </format>
    <format dxfId="150">
      <pivotArea dataOnly="0" labelOnly="1" outline="0" axis="axisValues" fieldPosition="0"/>
    </format>
    <format dxfId="149">
      <pivotArea grandRow="1" outline="0" collapsedLevelsAreSubtotals="1" fieldPosition="0"/>
    </format>
  </formats>
  <chartFormats count="2">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 count="1" selected="0">
            <x v="5"/>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5" showRowHeaders="1" showColHeaders="1" showRowStripes="0" showColStripes="0" showLastColumn="1"/>
  <filters count="1">
    <filter fld="1" type="count" id="1" iMeasureHier="33">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394C8D9-3009-49D0-8D49-E5A2920AD090}" name="PivotTable27" cacheId="178"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3">
  <location ref="F3:G8" firstHeaderRow="1" firstDataRow="1" firstDataCol="1"/>
  <pivotFields count="3">
    <pivotField dataField="1" compact="0" showAll="0" defaultSubtotal="0"/>
    <pivotField axis="axisRow" compact="0"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compact="0" allDrilled="1" subtotalTop="0" showAll="0" dataSourceSort="1" defaultSubtotal="0" defaultAttributeDrillState="1"/>
  </pivotFields>
  <rowFields count="1">
    <field x="1"/>
  </rowFields>
  <rowItems count="5">
    <i>
      <x v="1"/>
    </i>
    <i>
      <x/>
    </i>
    <i>
      <x v="2"/>
    </i>
    <i>
      <x v="3"/>
    </i>
    <i t="grand">
      <x/>
    </i>
  </rowItems>
  <colItems count="1">
    <i/>
  </colItems>
  <dataFields count="1">
    <dataField name="Sum of Revenue" fld="0" baseField="0" baseItem="0" numFmtId="168"/>
  </dataFields>
  <formats count="2">
    <format dxfId="153">
      <pivotArea outline="0" collapsedLevelsAreSubtotals="1" fieldPosition="0"/>
    </format>
    <format dxfId="152">
      <pivotArea dataOnly="0" labelOnly="1" outline="0" axis="axisValues"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3A4289F-F685-4701-917A-608CB59D713C}" name="PivotTable16" cacheId="145"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5">
  <location ref="B110:D115" firstHeaderRow="0" firstDataRow="1" firstDataCol="1"/>
  <pivotFields count="5">
    <pivotField compact="0" allDrilled="1" subtotalTop="0" showAll="0" dataSourceSort="1" defaultSubtotal="0" defaultAttributeDrillState="1">
      <items count="1">
        <item s="1" x="0"/>
      </items>
    </pivotField>
    <pivotField axis="axisRow" compact="0" allDrilled="1" subtotalTop="0" showAll="0" sortType="a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compact="0" subtotalTop="0" showAll="0" defaultSubtotal="0"/>
    <pivotField dataField="1" compact="0" subtotalTop="0" showAll="0" defaultSubtotal="0"/>
    <pivotField compact="0" allDrilled="1" subtotalTop="0" showAll="0" dataSourceSort="1" defaultSubtotal="0" defaultAttributeDrillState="1"/>
  </pivotFields>
  <rowFields count="1">
    <field x="1"/>
  </rowFields>
  <rowItems count="5">
    <i>
      <x v="3"/>
    </i>
    <i>
      <x/>
    </i>
    <i>
      <x v="1"/>
    </i>
    <i>
      <x v="2"/>
    </i>
    <i t="grand">
      <x/>
    </i>
  </rowItems>
  <colFields count="1">
    <field x="-2"/>
  </colFields>
  <colItems count="2">
    <i>
      <x/>
    </i>
    <i i="1">
      <x v="1"/>
    </i>
  </colItems>
  <dataFields count="2">
    <dataField name="Count of Order ID" fld="3" subtotal="count" baseField="1" baseItem="0"/>
    <dataField name="Sum of Shipping Fee" fld="2" baseField="0" baseItem="0"/>
  </dataFields>
  <chartFormats count="4">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ID"/>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2EF06DE-6C86-4620-9281-4DC1A69DC09B}" name="PivotTable3" cacheId="184"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7">
  <location ref="C47:D63" firstHeaderRow="1" firstDataRow="1" firstDataCol="1"/>
  <pivotFields count="3">
    <pivotField dataField="1" compact="0" showAll="0" defaultSubtotal="0"/>
    <pivotField axis="axisRow" compact="0"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compact="0" allDrilled="1" subtotalTop="0" showAll="0" dataSourceSort="1" defaultSubtotal="0" defaultAttributeDrillState="1"/>
  </pivotFields>
  <rowFields count="1">
    <field x="1"/>
  </rowFields>
  <rowItems count="16">
    <i>
      <x v="1"/>
    </i>
    <i>
      <x v="4"/>
    </i>
    <i>
      <x v="3"/>
    </i>
    <i>
      <x v="13"/>
    </i>
    <i>
      <x v="9"/>
    </i>
    <i>
      <x v="7"/>
    </i>
    <i>
      <x v="11"/>
    </i>
    <i>
      <x v="2"/>
    </i>
    <i>
      <x v="12"/>
    </i>
    <i>
      <x v="14"/>
    </i>
    <i>
      <x v="10"/>
    </i>
    <i>
      <x/>
    </i>
    <i>
      <x v="8"/>
    </i>
    <i>
      <x v="6"/>
    </i>
    <i>
      <x v="5"/>
    </i>
    <i t="grand">
      <x/>
    </i>
  </rowItems>
  <colItems count="1">
    <i/>
  </colItems>
  <dataFields count="1">
    <dataField name="Sum of Revenue" fld="0" baseField="0" baseItem="0" numFmtId="168"/>
  </dataFields>
  <formats count="3">
    <format dxfId="156">
      <pivotArea outline="0" collapsedLevelsAreSubtotals="1" fieldPosition="0"/>
    </format>
    <format dxfId="155">
      <pivotArea dataOnly="0" labelOnly="1" outline="0" axis="axisValues" fieldPosition="0"/>
    </format>
    <format dxfId="154">
      <pivotArea grandRow="1" outline="0" collapsedLevelsAreSubtotals="1" fieldPosition="0"/>
    </format>
  </formats>
  <chartFormats count="1">
    <chartFormat chart="6" format="6"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1"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6780018-9233-477D-A6A9-A27865B0562D}" name="PivotTable9" cacheId="202"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location ref="N29:Q35" firstHeaderRow="0" firstDataRow="1" firstDataCol="2"/>
  <pivotFields count="5">
    <pivotField dataField="1" compact="0" showAll="0" defaultSubtotal="0"/>
    <pivotField axis="axisRow" compact="0" allDrilled="1" subtotalTop="0" showAll="0" dataSourceSort="1" defaultSubtotal="0" defaultAttributeDrillState="1">
      <items count="1">
        <item s="1" x="0"/>
      </items>
    </pivotField>
    <pivotField dataField="1" compact="0" subtotalTop="0" showAll="0" defaultSubtotal="0"/>
    <pivotField axis="axisRow" compact="0" allDrilled="1" subtotalTop="0" showAll="0" dataSourceSort="1" defaultSubtotal="0" defaultAttributeDrillState="1">
      <items count="4">
        <item x="0"/>
        <item x="1"/>
        <item x="2"/>
        <item x="3"/>
      </items>
    </pivotField>
    <pivotField compact="0" allDrilled="1" subtotalTop="0" showAll="0" dataSourceSort="1" defaultSubtotal="0" defaultAttributeDrillState="1"/>
  </pivotFields>
  <rowFields count="2">
    <field x="1"/>
    <field x="3"/>
  </rowFields>
  <rowItems count="6">
    <i>
      <x/>
    </i>
    <i r="1">
      <x/>
    </i>
    <i r="1">
      <x v="1"/>
    </i>
    <i r="1">
      <x v="2"/>
    </i>
    <i r="1">
      <x v="3"/>
    </i>
    <i t="grand">
      <x/>
    </i>
  </rowItems>
  <colFields count="1">
    <field x="-2"/>
  </colFields>
  <colItems count="2">
    <i>
      <x/>
    </i>
    <i i="1">
      <x v="1"/>
    </i>
  </colItems>
  <dataFields count="2">
    <dataField name="Sum of Quantity" fld="2" baseField="0" baseItem="0"/>
    <dataField name="Sum of Revenue" fld="0" baseField="0" baseItem="0"/>
  </dataField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85A0EAB-9B70-4A7E-A45A-13F70BD6F300}" name="PivotTable18" cacheId="151"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7">
  <location ref="F47:H78" firstHeaderRow="1" firstDataRow="1" firstDataCol="2"/>
  <pivotFields count="4">
    <pivotField axis="axisRow" compact="0" allDrilled="1" subtotalTop="0" showAll="0" dataSourceSort="1" defaultSubtotal="0" defaultAttributeDrillState="1">
      <items count="15">
        <item x="0"/>
        <item x="1"/>
        <item x="2"/>
        <item x="3"/>
        <item x="4"/>
        <item x="5"/>
        <item x="6"/>
        <item x="7"/>
        <item x="8"/>
        <item x="9"/>
        <item x="10"/>
        <item x="11"/>
        <item x="12"/>
        <item x="13"/>
        <item x="14"/>
      </items>
    </pivotField>
    <pivotField axis="axisRow" compact="0" allDrilled="1" subtotalTop="0" showAll="0" measureFilter="1"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compact="0" subtotalTop="0" showAll="0" defaultSubtotal="0"/>
    <pivotField compact="0" allDrilled="1" subtotalTop="0" showAll="0" dataSourceSort="1" defaultSubtotal="0" defaultAttributeDrillState="1"/>
  </pivotFields>
  <rowFields count="2">
    <field x="0"/>
    <field x="1"/>
  </rowFields>
  <rowItems count="31">
    <i>
      <x/>
    </i>
    <i r="1">
      <x/>
    </i>
    <i>
      <x v="1"/>
    </i>
    <i r="1">
      <x v="1"/>
    </i>
    <i>
      <x v="2"/>
    </i>
    <i r="1">
      <x v="2"/>
    </i>
    <i>
      <x v="3"/>
    </i>
    <i r="1">
      <x v="3"/>
    </i>
    <i>
      <x v="4"/>
    </i>
    <i r="1">
      <x v="4"/>
    </i>
    <i>
      <x v="5"/>
    </i>
    <i r="1">
      <x v="5"/>
    </i>
    <i>
      <x v="6"/>
    </i>
    <i r="1">
      <x v="6"/>
    </i>
    <i>
      <x v="7"/>
    </i>
    <i r="1">
      <x v="7"/>
    </i>
    <i>
      <x v="8"/>
    </i>
    <i r="1">
      <x v="8"/>
    </i>
    <i>
      <x v="9"/>
    </i>
    <i r="1">
      <x v="9"/>
    </i>
    <i>
      <x v="10"/>
    </i>
    <i r="1">
      <x v="10"/>
    </i>
    <i>
      <x v="11"/>
    </i>
    <i r="1">
      <x v="11"/>
    </i>
    <i>
      <x v="12"/>
    </i>
    <i r="1">
      <x v="1"/>
    </i>
    <i>
      <x v="13"/>
    </i>
    <i r="1">
      <x v="10"/>
    </i>
    <i>
      <x v="14"/>
    </i>
    <i r="1">
      <x v="11"/>
    </i>
    <i t="grand">
      <x/>
    </i>
  </rowItems>
  <colItems count="1">
    <i/>
  </colItems>
  <dataFields count="1">
    <dataField name="Sum of Revenue" fld="2" baseField="0" baseItem="0" numFmtId="168"/>
  </dataFields>
  <formats count="34">
    <format dxfId="190">
      <pivotArea outline="0" collapsedLevelsAreSubtotals="1" fieldPosition="0"/>
    </format>
    <format dxfId="189">
      <pivotArea dataOnly="0" labelOnly="1" outline="0" axis="axisValues" fieldPosition="0"/>
    </format>
    <format dxfId="188">
      <pivotArea dataOnly="0" labelOnly="1" outline="0" axis="axisValues" fieldPosition="0"/>
    </format>
    <format dxfId="187">
      <pivotArea fieldPosition="0">
        <references count="1">
          <reference field="0" count="1">
            <x v="0"/>
          </reference>
        </references>
      </pivotArea>
    </format>
    <format dxfId="186">
      <pivotArea fieldPosition="0">
        <references count="2">
          <reference field="0" count="1" selected="0">
            <x v="0"/>
          </reference>
          <reference field="1" count="1">
            <x v="0"/>
          </reference>
        </references>
      </pivotArea>
    </format>
    <format dxfId="185">
      <pivotArea fieldPosition="0">
        <references count="1">
          <reference field="0" count="1">
            <x v="1"/>
          </reference>
        </references>
      </pivotArea>
    </format>
    <format dxfId="184">
      <pivotArea fieldPosition="0">
        <references count="2">
          <reference field="0" count="1" selected="0">
            <x v="1"/>
          </reference>
          <reference field="1" count="1">
            <x v="1"/>
          </reference>
        </references>
      </pivotArea>
    </format>
    <format dxfId="183">
      <pivotArea fieldPosition="0">
        <references count="1">
          <reference field="0" count="1">
            <x v="2"/>
          </reference>
        </references>
      </pivotArea>
    </format>
    <format dxfId="182">
      <pivotArea fieldPosition="0">
        <references count="2">
          <reference field="0" count="1" selected="0">
            <x v="2"/>
          </reference>
          <reference field="1" count="1">
            <x v="2"/>
          </reference>
        </references>
      </pivotArea>
    </format>
    <format dxfId="181">
      <pivotArea fieldPosition="0">
        <references count="1">
          <reference field="0" count="1">
            <x v="3"/>
          </reference>
        </references>
      </pivotArea>
    </format>
    <format dxfId="180">
      <pivotArea fieldPosition="0">
        <references count="2">
          <reference field="0" count="1" selected="0">
            <x v="3"/>
          </reference>
          <reference field="1" count="1">
            <x v="3"/>
          </reference>
        </references>
      </pivotArea>
    </format>
    <format dxfId="179">
      <pivotArea fieldPosition="0">
        <references count="1">
          <reference field="0" count="1">
            <x v="4"/>
          </reference>
        </references>
      </pivotArea>
    </format>
    <format dxfId="178">
      <pivotArea fieldPosition="0">
        <references count="2">
          <reference field="0" count="1" selected="0">
            <x v="4"/>
          </reference>
          <reference field="1" count="1">
            <x v="4"/>
          </reference>
        </references>
      </pivotArea>
    </format>
    <format dxfId="177">
      <pivotArea fieldPosition="0">
        <references count="1">
          <reference field="0" count="1">
            <x v="5"/>
          </reference>
        </references>
      </pivotArea>
    </format>
    <format dxfId="176">
      <pivotArea fieldPosition="0">
        <references count="2">
          <reference field="0" count="1" selected="0">
            <x v="5"/>
          </reference>
          <reference field="1" count="1">
            <x v="5"/>
          </reference>
        </references>
      </pivotArea>
    </format>
    <format dxfId="175">
      <pivotArea fieldPosition="0">
        <references count="1">
          <reference field="0" count="1">
            <x v="6"/>
          </reference>
        </references>
      </pivotArea>
    </format>
    <format dxfId="174">
      <pivotArea fieldPosition="0">
        <references count="2">
          <reference field="0" count="1" selected="0">
            <x v="6"/>
          </reference>
          <reference field="1" count="1">
            <x v="6"/>
          </reference>
        </references>
      </pivotArea>
    </format>
    <format dxfId="173">
      <pivotArea fieldPosition="0">
        <references count="1">
          <reference field="0" count="1">
            <x v="7"/>
          </reference>
        </references>
      </pivotArea>
    </format>
    <format dxfId="172">
      <pivotArea fieldPosition="0">
        <references count="2">
          <reference field="0" count="1" selected="0">
            <x v="7"/>
          </reference>
          <reference field="1" count="1">
            <x v="7"/>
          </reference>
        </references>
      </pivotArea>
    </format>
    <format dxfId="171">
      <pivotArea fieldPosition="0">
        <references count="1">
          <reference field="0" count="1">
            <x v="8"/>
          </reference>
        </references>
      </pivotArea>
    </format>
    <format dxfId="170">
      <pivotArea fieldPosition="0">
        <references count="2">
          <reference field="0" count="1" selected="0">
            <x v="8"/>
          </reference>
          <reference field="1" count="1">
            <x v="8"/>
          </reference>
        </references>
      </pivotArea>
    </format>
    <format dxfId="169">
      <pivotArea fieldPosition="0">
        <references count="1">
          <reference field="0" count="1">
            <x v="9"/>
          </reference>
        </references>
      </pivotArea>
    </format>
    <format dxfId="168">
      <pivotArea fieldPosition="0">
        <references count="2">
          <reference field="0" count="1" selected="0">
            <x v="9"/>
          </reference>
          <reference field="1" count="1">
            <x v="9"/>
          </reference>
        </references>
      </pivotArea>
    </format>
    <format dxfId="167">
      <pivotArea fieldPosition="0">
        <references count="1">
          <reference field="0" count="1">
            <x v="10"/>
          </reference>
        </references>
      </pivotArea>
    </format>
    <format dxfId="166">
      <pivotArea fieldPosition="0">
        <references count="2">
          <reference field="0" count="1" selected="0">
            <x v="10"/>
          </reference>
          <reference field="1" count="1">
            <x v="10"/>
          </reference>
        </references>
      </pivotArea>
    </format>
    <format dxfId="165">
      <pivotArea fieldPosition="0">
        <references count="1">
          <reference field="0" count="1">
            <x v="11"/>
          </reference>
        </references>
      </pivotArea>
    </format>
    <format dxfId="164">
      <pivotArea fieldPosition="0">
        <references count="2">
          <reference field="0" count="1" selected="0">
            <x v="11"/>
          </reference>
          <reference field="1" count="1">
            <x v="11"/>
          </reference>
        </references>
      </pivotArea>
    </format>
    <format dxfId="163">
      <pivotArea fieldPosition="0">
        <references count="1">
          <reference field="0" count="1">
            <x v="12"/>
          </reference>
        </references>
      </pivotArea>
    </format>
    <format dxfId="162">
      <pivotArea fieldPosition="0">
        <references count="2">
          <reference field="0" count="1" selected="0">
            <x v="12"/>
          </reference>
          <reference field="1" count="1">
            <x v="1"/>
          </reference>
        </references>
      </pivotArea>
    </format>
    <format dxfId="161">
      <pivotArea fieldPosition="0">
        <references count="1">
          <reference field="0" count="1">
            <x v="13"/>
          </reference>
        </references>
      </pivotArea>
    </format>
    <format dxfId="160">
      <pivotArea fieldPosition="0">
        <references count="2">
          <reference field="0" count="1" selected="0">
            <x v="13"/>
          </reference>
          <reference field="1" count="1">
            <x v="10"/>
          </reference>
        </references>
      </pivotArea>
    </format>
    <format dxfId="159">
      <pivotArea fieldPosition="0">
        <references count="1">
          <reference field="0" count="1">
            <x v="14"/>
          </reference>
        </references>
      </pivotArea>
    </format>
    <format dxfId="158">
      <pivotArea fieldPosition="0">
        <references count="2">
          <reference field="0" count="1" selected="0">
            <x v="14"/>
          </reference>
          <reference field="1" count="1">
            <x v="11"/>
          </reference>
        </references>
      </pivotArea>
    </format>
    <format dxfId="157">
      <pivotArea dataOnly="0" labelOnly="1" outline="0" axis="axisValues" fieldPosition="0"/>
    </format>
  </formats>
  <chartFormats count="1">
    <chartFormat chart="6" format="6"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1" type="count" id="2" iMeasureHier="33">
      <autoFilter ref="A1">
        <filterColumn colId="0">
          <top10 val="10" filterVal="10"/>
        </filterColumn>
      </autoFilter>
    </filter>
  </filters>
  <rowHierarchiesUsage count="2">
    <rowHierarchyUsage hierarchyUsage="3"/>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B7A7732-801C-4ED4-9250-7212BCE94503}" name="PivotTable29" cacheId="208"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location ref="C65:D78" firstHeaderRow="1" firstDataRow="1" firstDataCol="1"/>
  <pivotFields count="3">
    <pivotField axis="axisRow" compact="0" allDrilled="1" subtotalTop="0" showAll="0" dataSourceSort="1" defaultSubtotal="0" defaultAttributeDrillState="1">
      <items count="12">
        <item x="0"/>
        <item x="1"/>
        <item x="2"/>
        <item x="3"/>
        <item x="4"/>
        <item x="5"/>
        <item x="6"/>
        <item x="7"/>
        <item x="8"/>
        <item x="9"/>
        <item x="10"/>
        <item x="11"/>
      </items>
    </pivotField>
    <pivotField dataField="1" compact="0" subtotalTop="0" showAll="0" defaultSubtotal="0"/>
    <pivotField compact="0"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Customer Name" fld="1" subtotal="count" baseField="0" baseItem="0"/>
  </dataField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42F8FB0-178D-46CD-82E7-F213313BB051}" name="PivotTable7" cacheId="196"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location ref="S29:V74" firstHeaderRow="0" firstDataRow="1" firstDataCol="2"/>
  <pivotFields count="5">
    <pivotField dataField="1" compact="0" showAll="0" defaultSubtotal="0"/>
    <pivotField axis="axisRow" compact="0" allDrilled="1" subtotalTop="0" showAll="0" dataSourceSort="1" defaultSubtotal="0" defaultAttributeDrillState="1">
      <items count="14">
        <item x="0"/>
        <item x="1"/>
        <item x="2"/>
        <item x="3"/>
        <item x="4"/>
        <item x="5"/>
        <item x="6"/>
        <item x="7"/>
        <item x="8"/>
        <item x="9"/>
        <item x="10"/>
        <item x="11"/>
        <item x="12"/>
        <item x="13"/>
      </items>
    </pivotField>
    <pivotField axis="axisRow" compact="0" allDrilled="1" subtotalTop="0" showAll="0" dataSourceSort="1" defaultSubtotal="0" defaultAttributeDrillState="1">
      <items count="4">
        <item x="0"/>
        <item x="1"/>
        <item x="2"/>
        <item x="3"/>
      </items>
    </pivotField>
    <pivotField dataField="1" compact="0" subtotalTop="0" showAll="0" defaultSubtotal="0"/>
    <pivotField compact="0" allDrilled="1" subtotalTop="0" showAll="0" dataSourceSort="1" defaultSubtotal="0" defaultAttributeDrillState="1"/>
  </pivotFields>
  <rowFields count="2">
    <field x="1"/>
    <field x="2"/>
  </rowFields>
  <rowItems count="45">
    <i>
      <x/>
    </i>
    <i r="1">
      <x/>
    </i>
    <i r="1">
      <x v="1"/>
    </i>
    <i>
      <x v="1"/>
    </i>
    <i r="1">
      <x/>
    </i>
    <i r="1">
      <x v="1"/>
    </i>
    <i r="1">
      <x v="2"/>
    </i>
    <i r="1">
      <x v="3"/>
    </i>
    <i>
      <x v="2"/>
    </i>
    <i r="1">
      <x v="1"/>
    </i>
    <i r="1">
      <x v="3"/>
    </i>
    <i>
      <x v="3"/>
    </i>
    <i r="1">
      <x v="1"/>
    </i>
    <i r="1">
      <x v="2"/>
    </i>
    <i>
      <x v="4"/>
    </i>
    <i r="1">
      <x/>
    </i>
    <i r="1">
      <x v="3"/>
    </i>
    <i>
      <x v="5"/>
    </i>
    <i r="1">
      <x v="1"/>
    </i>
    <i r="1">
      <x v="3"/>
    </i>
    <i>
      <x v="6"/>
    </i>
    <i r="1">
      <x/>
    </i>
    <i r="1">
      <x v="1"/>
    </i>
    <i r="1">
      <x v="2"/>
    </i>
    <i r="1">
      <x v="3"/>
    </i>
    <i>
      <x v="7"/>
    </i>
    <i r="1">
      <x v="3"/>
    </i>
    <i>
      <x v="8"/>
    </i>
    <i r="1">
      <x/>
    </i>
    <i>
      <x v="9"/>
    </i>
    <i r="1">
      <x/>
    </i>
    <i r="1">
      <x v="2"/>
    </i>
    <i>
      <x v="10"/>
    </i>
    <i r="1">
      <x v="2"/>
    </i>
    <i>
      <x v="11"/>
    </i>
    <i r="1">
      <x/>
    </i>
    <i r="1">
      <x v="3"/>
    </i>
    <i>
      <x v="12"/>
    </i>
    <i r="1">
      <x v="1"/>
    </i>
    <i r="1">
      <x v="2"/>
    </i>
    <i r="1">
      <x v="3"/>
    </i>
    <i>
      <x v="13"/>
    </i>
    <i r="1">
      <x v="2"/>
    </i>
    <i r="1">
      <x v="3"/>
    </i>
    <i t="grand">
      <x/>
    </i>
  </rowItems>
  <colFields count="1">
    <field x="-2"/>
  </colFields>
  <colItems count="2">
    <i>
      <x/>
    </i>
    <i i="1">
      <x v="1"/>
    </i>
  </colItems>
  <dataFields count="2">
    <dataField name="Sum of Revenue" fld="0" baseField="0" baseItem="0"/>
    <dataField name="Sum of Quantity" fld="3" baseField="0" baseItem="0"/>
  </dataField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328C1C9-A1F1-45EF-896B-2BF6F181240A}" name="PivotTable24" cacheId="172"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3">
  <location ref="F11:G14" firstHeaderRow="1" firstDataRow="1" firstDataCol="1"/>
  <pivotFields count="4">
    <pivotField dataField="1" compact="0" showAll="0" defaultSubtotal="0"/>
    <pivotField compact="0"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compact="0" allDrilled="1" subtotalTop="0" showAll="0" dataSourceSort="1" defaultSubtotal="0" defaultAttributeDrillState="1">
      <items count="2">
        <item x="0"/>
        <item x="1"/>
      </items>
    </pivotField>
    <pivotField compact="0" allDrilled="1" subtotalTop="0" showAll="0" dataSourceSort="1" defaultSubtotal="0" defaultAttributeDrillState="1"/>
  </pivotFields>
  <rowFields count="1">
    <field x="2"/>
  </rowFields>
  <rowItems count="3">
    <i>
      <x/>
    </i>
    <i>
      <x v="1"/>
    </i>
    <i t="grand">
      <x/>
    </i>
  </rowItems>
  <colItems count="1">
    <i/>
  </colItems>
  <dataFields count="1">
    <dataField name="Sum of Revenue" fld="0" baseField="0" baseItem="0" numFmtId="168"/>
  </dataFields>
  <formats count="2">
    <format dxfId="192">
      <pivotArea outline="0" collapsedLevelsAreSubtotals="1" fieldPosition="0"/>
    </format>
    <format dxfId="19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EB11716-1E46-4749-BBF6-3A102DC779F5}" name="PivotTable11" cacheId="130"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3">
  <location ref="O49:R54" firstHeaderRow="0" firstDataRow="1" firstDataCol="1"/>
  <pivotFields count="5">
    <pivotField dataField="1" compact="0" subtotalTop="0" showAll="0"/>
    <pivotField dataField="1" compact="0" subtotalTop="0" showAll="0"/>
    <pivotField axis="axisRow" compact="0" allDrilled="1" subtotalTop="0" showAll="0" dataSourceSort="1" defaultAttributeDrillState="1">
      <items count="5">
        <item x="0"/>
        <item x="1"/>
        <item x="2"/>
        <item x="3"/>
        <item t="default"/>
      </items>
    </pivotField>
    <pivotField dataField="1" compact="0" subtotalTop="0" showAll="0"/>
    <pivotField compact="0" allDrilled="1" subtotalTop="0" showAll="0" dataSourceSort="1" defaultAttributeDrillState="1"/>
  </pivotFields>
  <rowFields count="1">
    <field x="2"/>
  </rowFields>
  <rowItems count="5">
    <i>
      <x/>
    </i>
    <i>
      <x v="1"/>
    </i>
    <i>
      <x v="2"/>
    </i>
    <i>
      <x v="3"/>
    </i>
    <i t="grand">
      <x/>
    </i>
  </rowItems>
  <colFields count="1">
    <field x="-2"/>
  </colFields>
  <colItems count="3">
    <i>
      <x/>
    </i>
    <i i="1">
      <x v="1"/>
    </i>
    <i i="2">
      <x v="2"/>
    </i>
  </colItems>
  <dataFields count="3">
    <dataField name="Sum of Revenue" fld="0" baseField="0" baseItem="0" numFmtId="168"/>
    <dataField name="Count of Customer Name" fld="1" subtotal="count" baseField="0" baseItem="0"/>
    <dataField name="Sum of Quantity" fld="3" baseField="0" baseItem="0"/>
  </dataFields>
  <formats count="2">
    <format dxfId="194">
      <pivotArea outline="0" fieldPosition="0">
        <references count="1">
          <reference field="4294967294" count="1" selected="0">
            <x v="0"/>
          </reference>
        </references>
      </pivotArea>
    </format>
    <format dxfId="193">
      <pivotArea dataOnly="0" labelOnly="1" outline="0" fieldPosition="0">
        <references count="1">
          <reference field="4294967294" count="1">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9DDED31-B762-474F-871D-7A5EDCC24E78}" name="PivotTable12" cacheId="133"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7">
  <location ref="H30:I41" firstHeaderRow="1" firstDataRow="1" firstDataCol="1"/>
  <pivotFields count="3">
    <pivotField axis="axisRow" compact="0"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subtotalTop="0" showAll="0" defaultSubtotal="0"/>
    <pivotField compact="0" allDrilled="1" subtotalTop="0" showAll="0" dataSourceSort="1" defaultSubtotal="0" defaultAttributeDrillState="1"/>
  </pivotFields>
  <rowFields count="1">
    <field x="0"/>
  </rowFields>
  <rowItems count="11">
    <i>
      <x v="7"/>
    </i>
    <i>
      <x v="4"/>
    </i>
    <i>
      <x v="8"/>
    </i>
    <i>
      <x v="1"/>
    </i>
    <i>
      <x v="3"/>
    </i>
    <i>
      <x v="2"/>
    </i>
    <i>
      <x v="6"/>
    </i>
    <i>
      <x v="5"/>
    </i>
    <i>
      <x v="9"/>
    </i>
    <i>
      <x/>
    </i>
    <i t="grand">
      <x/>
    </i>
  </rowItems>
  <colItems count="1">
    <i/>
  </colItems>
  <dataFields count="1">
    <dataField name="Sum of Quantity" fld="1" baseField="0" baseItem="0"/>
  </dataFields>
  <chartFormats count="1">
    <chartFormat chart="6" format="6"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F322FF3-1652-4DE0-B0E7-5AA040833892}" name="PivotTable15" cacheId="142"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8">
  <location ref="B102:C107" firstHeaderRow="1" firstDataRow="1" firstDataCol="1"/>
  <pivotFields count="3">
    <pivotField axis="axisRow" compact="0" allDrilled="1" subtotalTop="0" showAll="0" sortType="a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compact="0" subtotalTop="0" showAll="0" defaultSubtotal="0"/>
    <pivotField compact="0" allDrilled="1" subtotalTop="0" showAll="0" dataSourceSort="1" defaultAttributeDrillState="1"/>
  </pivotFields>
  <rowFields count="1">
    <field x="0"/>
  </rowFields>
  <rowItems count="5">
    <i>
      <x v="2"/>
    </i>
    <i>
      <x v="3"/>
    </i>
    <i>
      <x/>
    </i>
    <i>
      <x v="1"/>
    </i>
    <i t="grand">
      <x/>
    </i>
  </rowItems>
  <colItems count="1">
    <i/>
  </colItems>
  <dataFields count="1">
    <dataField name="Sum of Shipping Fee" fld="1" baseField="0" baseItem="0" numFmtId="168"/>
  </dataFields>
  <formats count="2">
    <format dxfId="196">
      <pivotArea outline="0" collapsedLevelsAreSubtotals="1" fieldPosition="0"/>
    </format>
    <format dxfId="195">
      <pivotArea dataOnly="0" labelOnly="1" outline="0" axis="axisValues" fieldPosition="0"/>
    </format>
  </formats>
  <chartFormats count="3">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483466D-2A71-4341-B971-2BA44AD18605}" name="PivotTable22" cacheId="166"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5">
  <location ref="H111:J132" firstHeaderRow="1" firstDataRow="1" firstDataCol="2" rowPageCount="1" colPageCount="1"/>
  <pivotFields count="5">
    <pivotField axis="axisRow" compact="0"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Page" compact="0" allDrilled="1" subtotalTop="0" showAll="0" dataSourceSort="1" defaultSubtotal="0" defaultAttributeDrillState="1"/>
    <pivotField dataField="1" compact="0" subtotalTop="0" showAll="0" defaultSubtotal="0"/>
    <pivotField axis="axisRow" compact="0" allDrilled="1" subtotalTop="0" showAll="0" dataSourceSort="1" defaultSubtotal="0" defaultAttributeDrillState="1">
      <items count="7">
        <item x="0"/>
        <item x="1"/>
        <item x="2"/>
        <item x="3"/>
        <item x="4"/>
        <item x="5"/>
        <item x="6"/>
      </items>
    </pivotField>
    <pivotField compact="0" allDrilled="1" subtotalTop="0" showAll="0" dataSourceSort="1" defaultSubtotal="0" defaultAttributeDrillState="1"/>
  </pivotFields>
  <rowFields count="2">
    <field x="0"/>
    <field x="3"/>
  </rowFields>
  <rowItems count="21">
    <i>
      <x v="3"/>
    </i>
    <i r="1">
      <x v="4"/>
    </i>
    <i r="1">
      <x v="6"/>
    </i>
    <i r="1">
      <x/>
    </i>
    <i r="1">
      <x v="2"/>
    </i>
    <i>
      <x/>
    </i>
    <i r="1">
      <x/>
    </i>
    <i r="1">
      <x v="1"/>
    </i>
    <i r="1">
      <x v="2"/>
    </i>
    <i>
      <x v="1"/>
    </i>
    <i r="1">
      <x v="3"/>
    </i>
    <i r="1">
      <x v="4"/>
    </i>
    <i r="1">
      <x v="5"/>
    </i>
    <i r="1">
      <x v="2"/>
    </i>
    <i>
      <x v="2"/>
    </i>
    <i r="1">
      <x v="3"/>
    </i>
    <i r="1">
      <x v="4"/>
    </i>
    <i r="1">
      <x v="5"/>
    </i>
    <i r="1">
      <x v="6"/>
    </i>
    <i r="1">
      <x/>
    </i>
    <i t="grand">
      <x/>
    </i>
  </rowItems>
  <colItems count="1">
    <i/>
  </colItems>
  <pageFields count="1">
    <pageField fld="1" hier="6" name="[Table2].[State].[All]" cap="All"/>
  </pageFields>
  <dataFields count="1">
    <dataField name="Count of Delivery Time" fld="2" subtotal="count" baseField="0" baseItem="0"/>
  </dataFields>
  <chartFormats count="2">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Delivery Time"/>
    <pivotHierarchy dragToData="1"/>
  </pivotHierarchies>
  <pivotTableStyleInfo name="PivotStyleLight16" showRowHeaders="1" showColHeaders="1" showRowStripes="0" showColStripes="0" showLastColumn="1"/>
  <rowHierarchiesUsage count="2">
    <rowHierarchyUsage hierarchyUsage="12"/>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CD7A4A2-EF79-40EF-B025-9C1D699AC6E3}" name="PivotTable30" cacheId="211"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3">
  <location ref="AM31:AN56" firstHeaderRow="1" firstDataRow="1" firstDataCol="1"/>
  <pivotFields count="3">
    <pivotField dataField="1" compact="0" showAll="0" defaultSubtotal="0"/>
    <pivotField axis="axisRow" compact="0"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compact="0" allDrilled="1" subtotalTop="0" showAll="0" dataSourceSort="1" defaultSubtotal="0" defaultAttributeDrillState="1"/>
  </pivotFields>
  <rowFields count="1">
    <field x="1"/>
  </rowFields>
  <rowItems count="25">
    <i>
      <x v="8"/>
    </i>
    <i>
      <x v="11"/>
    </i>
    <i>
      <x v="10"/>
    </i>
    <i>
      <x v="12"/>
    </i>
    <i>
      <x v="5"/>
    </i>
    <i>
      <x v="2"/>
    </i>
    <i>
      <x v="19"/>
    </i>
    <i>
      <x v="9"/>
    </i>
    <i>
      <x v="4"/>
    </i>
    <i>
      <x v="15"/>
    </i>
    <i>
      <x v="3"/>
    </i>
    <i>
      <x v="7"/>
    </i>
    <i>
      <x v="6"/>
    </i>
    <i>
      <x v="21"/>
    </i>
    <i>
      <x v="1"/>
    </i>
    <i>
      <x v="18"/>
    </i>
    <i>
      <x v="20"/>
    </i>
    <i>
      <x v="13"/>
    </i>
    <i>
      <x v="22"/>
    </i>
    <i>
      <x v="16"/>
    </i>
    <i>
      <x v="14"/>
    </i>
    <i>
      <x/>
    </i>
    <i>
      <x v="23"/>
    </i>
    <i>
      <x v="17"/>
    </i>
    <i t="grand">
      <x/>
    </i>
  </rowItems>
  <colItems count="1">
    <i/>
  </colItems>
  <dataFields count="1">
    <dataField name="Sum of Revenue" fld="0" baseField="0" baseItem="0" numFmtId="169"/>
  </dataFields>
  <formats count="4">
    <format dxfId="200">
      <pivotArea outline="0" collapsedLevelsAreSubtotals="1" fieldPosition="0"/>
    </format>
    <format dxfId="199">
      <pivotArea dataOnly="0" labelOnly="1" outline="0" axis="axisValues" fieldPosition="0"/>
    </format>
    <format dxfId="198">
      <pivotArea grandRow="1" outline="0" collapsedLevelsAreSubtotals="1" fieldPosition="0"/>
    </format>
    <format dxfId="197">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0"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694D998-DB3A-4126-A2F1-89575F04EB7D}" name="PivotTable19" cacheId="154"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location ref="K62:M102" firstHeaderRow="1" firstDataRow="1" firstDataCol="2"/>
  <pivotFields count="4">
    <pivotField axis="axisRow" compact="0" allDrilled="1" subtotalTop="0" showAll="0" dataSourceSort="1" defaultAttributeDrillState="1">
      <items count="4">
        <item x="0"/>
        <item x="1"/>
        <item x="2"/>
        <item t="default"/>
      </items>
    </pivotField>
    <pivotField dataField="1" compact="0" subtotalTop="0" showAll="0"/>
    <pivotField axis="axisRow" compact="0" allDrilled="1" subtotalTop="0" showAll="0" dataSourceSort="1" defaultAttributeDrillState="1">
      <items count="16">
        <item x="0"/>
        <item x="1"/>
        <item x="2"/>
        <item x="3"/>
        <item x="4"/>
        <item x="5"/>
        <item x="6"/>
        <item x="7"/>
        <item x="8"/>
        <item x="9"/>
        <item x="10"/>
        <item x="11"/>
        <item x="12"/>
        <item x="13"/>
        <item x="14"/>
        <item t="default"/>
      </items>
    </pivotField>
    <pivotField compact="0" allDrilled="1" subtotalTop="0" showAll="0" dataSourceSort="1" defaultAttributeDrillState="1"/>
  </pivotFields>
  <rowFields count="2">
    <field x="0"/>
    <field x="2"/>
  </rowFields>
  <rowItems count="40">
    <i>
      <x/>
    </i>
    <i r="1">
      <x/>
    </i>
    <i r="1">
      <x v="1"/>
    </i>
    <i r="1">
      <x v="2"/>
    </i>
    <i r="1">
      <x v="3"/>
    </i>
    <i r="1">
      <x v="4"/>
    </i>
    <i r="1">
      <x v="5"/>
    </i>
    <i r="1">
      <x v="6"/>
    </i>
    <i r="1">
      <x v="7"/>
    </i>
    <i t="default">
      <x/>
    </i>
    <i>
      <x v="1"/>
    </i>
    <i r="1">
      <x/>
    </i>
    <i r="1">
      <x v="8"/>
    </i>
    <i r="1">
      <x v="9"/>
    </i>
    <i r="1">
      <x v="10"/>
    </i>
    <i r="1">
      <x v="11"/>
    </i>
    <i r="1">
      <x v="1"/>
    </i>
    <i r="1">
      <x v="2"/>
    </i>
    <i r="1">
      <x v="3"/>
    </i>
    <i r="1">
      <x v="4"/>
    </i>
    <i r="1">
      <x v="12"/>
    </i>
    <i r="1">
      <x v="5"/>
    </i>
    <i r="1">
      <x v="6"/>
    </i>
    <i r="1">
      <x v="7"/>
    </i>
    <i r="1">
      <x v="13"/>
    </i>
    <i r="1">
      <x v="14"/>
    </i>
    <i t="default">
      <x v="1"/>
    </i>
    <i>
      <x v="2"/>
    </i>
    <i r="1">
      <x/>
    </i>
    <i r="1">
      <x v="9"/>
    </i>
    <i r="1">
      <x v="1"/>
    </i>
    <i r="1">
      <x v="2"/>
    </i>
    <i r="1">
      <x v="4"/>
    </i>
    <i r="1">
      <x v="12"/>
    </i>
    <i r="1">
      <x v="5"/>
    </i>
    <i r="1">
      <x v="7"/>
    </i>
    <i r="1">
      <x v="13"/>
    </i>
    <i r="1">
      <x v="14"/>
    </i>
    <i t="default">
      <x v="2"/>
    </i>
    <i t="grand">
      <x/>
    </i>
  </rowItems>
  <colItems count="1">
    <i/>
  </colItems>
  <dataFields count="1">
    <dataField name="Sum of Revenue" fld="1" baseField="0" baseItem="0"/>
  </dataField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8"/>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B00D011-EFB9-4336-BE77-5075E1CB0A85}" name="PivotTable10" cacheId="127"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location ref="K49:M54" firstHeaderRow="1" firstDataRow="1" firstDataCol="2" rowPageCount="1" colPageCount="1"/>
  <pivotFields count="4">
    <pivotField axis="axisRow" compact="0" allDrilled="1" subtotalTop="0" showAll="0" nonAutoSortDefault="1" defaultAttributeDrillState="1">
      <items count="2">
        <item s="1" x="0"/>
        <item t="default"/>
      </items>
    </pivotField>
    <pivotField axis="axisPage" compact="0" allDrilled="1" subtotalTop="0" showAll="0" dataSourceSort="1" defaultAttributeDrillState="1">
      <items count="1">
        <item t="default"/>
      </items>
    </pivotField>
    <pivotField axis="axisRow" compact="0" allDrilled="1" subtotalTop="0" showAll="0" dataSourceSort="1" defaultAttributeDrillState="1">
      <items count="3">
        <item x="0"/>
        <item x="1"/>
        <item t="default"/>
      </items>
    </pivotField>
    <pivotField dataField="1" compact="0" subtotalTop="0" showAll="0" defaultSubtotal="0"/>
  </pivotFields>
  <rowFields count="2">
    <field x="0"/>
    <field x="2"/>
  </rowFields>
  <rowItems count="5">
    <i>
      <x/>
    </i>
    <i r="1">
      <x/>
    </i>
    <i r="1">
      <x v="1"/>
    </i>
    <i t="default">
      <x/>
    </i>
    <i t="grand">
      <x/>
    </i>
  </rowItems>
  <colItems count="1">
    <i/>
  </colItems>
  <pageFields count="1">
    <pageField fld="1" hier="3" name="[Table2].[Customer Name].[All]" cap="All"/>
  </pageFields>
  <dataFields count="1">
    <dataField name="Sum of Quantity" fld="3" baseField="0" baseItem="0"/>
  </dataField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6"/>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DD403FD-CDAE-41A6-9B66-FFC622A9F67A}" name="PivotTable4" cacheId="187"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chartFormat="8">
  <location ref="C141:E145" firstHeaderRow="0" firstDataRow="1" firstDataCol="1"/>
  <pivotFields count="4">
    <pivotField dataField="1" compact="0" showAll="0" defaultSubtotal="0"/>
    <pivotField axis="axisRow" compact="0" allDrilled="1" subtotalTop="0" showAll="0" dataSourceSort="1" defaultSubtotal="0" defaultAttributeDrillState="1">
      <items count="3">
        <item x="0"/>
        <item x="1"/>
        <item x="2"/>
      </items>
    </pivotField>
    <pivotField compact="0"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4">
    <i>
      <x/>
    </i>
    <i>
      <x v="1"/>
    </i>
    <i>
      <x v="2"/>
    </i>
    <i t="grand">
      <x/>
    </i>
  </rowItems>
  <colFields count="1">
    <field x="-2"/>
  </colFields>
  <colItems count="2">
    <i>
      <x/>
    </i>
    <i i="1">
      <x v="1"/>
    </i>
  </colItems>
  <dataFields count="2">
    <dataField name="Sum of Revenue" fld="0" baseField="0" baseItem="0" numFmtId="168"/>
    <dataField name="Percentage Revenue" fld="3" baseField="1" baseItem="1048828" numFmtId="10">
      <extLst>
        <ext xmlns:x14="http://schemas.microsoft.com/office/spreadsheetml/2009/9/main" uri="{E15A36E0-9728-4e99-A89B-3F7291B0FE68}">
          <x14:dataField pivotShowAs="percentOfParentRow" sourceField="0" uniqueName="[__Xl2].[Measures].[Sum of Revenue]"/>
        </ext>
      </extLst>
    </dataField>
  </dataFields>
  <formats count="6">
    <format dxfId="206">
      <pivotArea outline="0" collapsedLevelsAreSubtotals="1" fieldPosition="0"/>
    </format>
    <format dxfId="205">
      <pivotArea dataOnly="0" labelOnly="1" outline="0" axis="axisValues" fieldPosition="0"/>
    </format>
    <format dxfId="204">
      <pivotArea outline="0" fieldPosition="0">
        <references count="1">
          <reference field="4294967294" count="1">
            <x v="1"/>
          </reference>
        </references>
      </pivotArea>
    </format>
    <format dxfId="203">
      <pivotArea fieldPosition="0">
        <references count="2">
          <reference field="4294967294" count="1" selected="0">
            <x v="0"/>
          </reference>
          <reference field="1" count="1">
            <x v="0"/>
          </reference>
        </references>
      </pivotArea>
    </format>
    <format dxfId="202">
      <pivotArea fieldPosition="0">
        <references count="2">
          <reference field="4294967294" count="1" selected="0">
            <x v="0"/>
          </reference>
          <reference field="1" count="1">
            <x v="1"/>
          </reference>
        </references>
      </pivotArea>
    </format>
    <format dxfId="201">
      <pivotArea fieldPosition="0">
        <references count="2">
          <reference field="4294967294" count="1" selected="0">
            <x v="0"/>
          </reference>
          <reference field="1" count="1">
            <x v="2"/>
          </reference>
        </references>
      </pivotArea>
    </format>
  </formats>
  <chartFormats count="16">
    <chartFormat chart="6" format="21"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1" count="1" selected="0">
            <x v="0"/>
          </reference>
        </references>
      </pivotArea>
    </chartFormat>
    <chartFormat chart="6" format="23">
      <pivotArea type="data" outline="0" fieldPosition="0">
        <references count="2">
          <reference field="4294967294" count="1" selected="0">
            <x v="0"/>
          </reference>
          <reference field="1" count="1" selected="0">
            <x v="1"/>
          </reference>
        </references>
      </pivotArea>
    </chartFormat>
    <chartFormat chart="6" format="24">
      <pivotArea type="data" outline="0" fieldPosition="0">
        <references count="2">
          <reference field="4294967294" count="1" selected="0">
            <x v="0"/>
          </reference>
          <reference field="1" count="1" selected="0">
            <x v="2"/>
          </reference>
        </references>
      </pivotArea>
    </chartFormat>
    <chartFormat chart="6" format="25" series="1">
      <pivotArea type="data" outline="0" fieldPosition="0">
        <references count="1">
          <reference field="4294967294" count="1" selected="0">
            <x v="1"/>
          </reference>
        </references>
      </pivotArea>
    </chartFormat>
    <chartFormat chart="6" format="26">
      <pivotArea type="data" outline="0" fieldPosition="0">
        <references count="2">
          <reference field="4294967294" count="1" selected="0">
            <x v="1"/>
          </reference>
          <reference field="1" count="1" selected="0">
            <x v="0"/>
          </reference>
        </references>
      </pivotArea>
    </chartFormat>
    <chartFormat chart="6" format="27">
      <pivotArea type="data" outline="0" fieldPosition="0">
        <references count="2">
          <reference field="4294967294" count="1" selected="0">
            <x v="1"/>
          </reference>
          <reference field="1" count="1" selected="0">
            <x v="1"/>
          </reference>
        </references>
      </pivotArea>
    </chartFormat>
    <chartFormat chart="6" format="28">
      <pivotArea type="data" outline="0" fieldPosition="0">
        <references count="2">
          <reference field="4294967294" count="1" selected="0">
            <x v="1"/>
          </reference>
          <reference field="1" count="1" selected="0">
            <x v="2"/>
          </reference>
        </references>
      </pivotArea>
    </chartFormat>
    <chartFormat chart="7" format="29" series="1">
      <pivotArea type="data" outline="0" fieldPosition="0">
        <references count="1">
          <reference field="4294967294" count="1" selected="0">
            <x v="0"/>
          </reference>
        </references>
      </pivotArea>
    </chartFormat>
    <chartFormat chart="7" format="30">
      <pivotArea type="data" outline="0" fieldPosition="0">
        <references count="2">
          <reference field="4294967294" count="1" selected="0">
            <x v="0"/>
          </reference>
          <reference field="1" count="1" selected="0">
            <x v="0"/>
          </reference>
        </references>
      </pivotArea>
    </chartFormat>
    <chartFormat chart="7" format="31">
      <pivotArea type="data" outline="0" fieldPosition="0">
        <references count="2">
          <reference field="4294967294" count="1" selected="0">
            <x v="0"/>
          </reference>
          <reference field="1" count="1" selected="0">
            <x v="1"/>
          </reference>
        </references>
      </pivotArea>
    </chartFormat>
    <chartFormat chart="7" format="32">
      <pivotArea type="data" outline="0" fieldPosition="0">
        <references count="2">
          <reference field="4294967294" count="1" selected="0">
            <x v="0"/>
          </reference>
          <reference field="1" count="1" selected="0">
            <x v="2"/>
          </reference>
        </references>
      </pivotArea>
    </chartFormat>
    <chartFormat chart="7" format="33" series="1">
      <pivotArea type="data" outline="0" fieldPosition="0">
        <references count="1">
          <reference field="4294967294" count="1" selected="0">
            <x v="1"/>
          </reference>
        </references>
      </pivotArea>
    </chartFormat>
    <chartFormat chart="7" format="34">
      <pivotArea type="data" outline="0" fieldPosition="0">
        <references count="2">
          <reference field="4294967294" count="1" selected="0">
            <x v="1"/>
          </reference>
          <reference field="1" count="1" selected="0">
            <x v="0"/>
          </reference>
        </references>
      </pivotArea>
    </chartFormat>
    <chartFormat chart="7" format="35">
      <pivotArea type="data" outline="0" fieldPosition="0">
        <references count="2">
          <reference field="4294967294" count="1" selected="0">
            <x v="1"/>
          </reference>
          <reference field="1" count="1" selected="0">
            <x v="1"/>
          </reference>
        </references>
      </pivotArea>
    </chartFormat>
    <chartFormat chart="7" format="36">
      <pivotArea type="data" outline="0" fieldPosition="0">
        <references count="2">
          <reference field="4294967294" count="1" selected="0">
            <x v="1"/>
          </reference>
          <reference field="1" count="1" selected="0">
            <x v="2"/>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F7D23946-BC3A-49FC-B6F6-92C1D23206FC}" name="PivotTable21" cacheId="163"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location ref="AA29:AB42" firstHeaderRow="1" firstDataRow="1" firstDataCol="1"/>
  <pivotFields count="3">
    <pivotField dataField="1" compact="0" subtotalTop="0" showAll="0" defaultSubtotal="0"/>
    <pivotField axis="axisRow" compact="0" allDrilled="1" subtotalTop="0" showAll="0" dataSourceSort="1" defaultSubtotal="0" defaultAttributeDrillState="1">
      <items count="12">
        <item x="0"/>
        <item x="1"/>
        <item x="2"/>
        <item x="3"/>
        <item x="4"/>
        <item x="5"/>
        <item x="6"/>
        <item x="7"/>
        <item x="8"/>
        <item x="9"/>
        <item x="10"/>
        <item x="11"/>
      </items>
    </pivotField>
    <pivotField compact="0"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Order ID" fld="0" baseField="0" baseItem="0"/>
  </dataField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52DACC0F-4370-4917-B3EF-C7C40D161843}" name="PivotTable20" cacheId="160"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location ref="X29:Y42" firstHeaderRow="1" firstDataRow="1" firstDataCol="1"/>
  <pivotFields count="3">
    <pivotField dataField="1" compact="0" subtotalTop="0" showAll="0" defaultSubtotal="0"/>
    <pivotField axis="axisRow" compact="0" allDrilled="1" subtotalTop="0" showAll="0" dataSourceSort="1" defaultSubtotal="0" defaultAttributeDrillState="1">
      <items count="12">
        <item x="0"/>
        <item x="1"/>
        <item x="2"/>
        <item x="3"/>
        <item x="4"/>
        <item x="5"/>
        <item x="6"/>
        <item x="7"/>
        <item x="8"/>
        <item x="9"/>
        <item x="10"/>
        <item x="11"/>
      </items>
    </pivotField>
    <pivotField compact="0"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Order ID" fld="0" baseField="0" baseItem="0"/>
  </dataField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Project(Raheem Adetunji W).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C06B2D5A-7DE9-44F7-A601-83E4FEE2E491}" sourceName="[Table2].[Customer Name]">
  <pivotTables>
    <pivotTable tabId="3" name="PivotTable1"/>
    <pivotTable tabId="3" name="PivotTable10"/>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7"/>
    <pivotTable tabId="3" name="PivotTable28"/>
    <pivotTable tabId="3" name="PivotTable3"/>
    <pivotTable tabId="3" name="PivotTable4"/>
    <pivotTable tabId="3" name="PivotTable5"/>
    <pivotTable tabId="3" name="PivotTable6"/>
    <pivotTable tabId="3" name="PivotTable7"/>
    <pivotTable tabId="3" name="PivotTable8"/>
    <pivotTable tabId="3" name="PivotTable9"/>
    <pivotTable tabId="3" name="PivotTable11"/>
    <pivotTable tabId="3" name="PivotTable24"/>
    <pivotTable tabId="3" name="PivotTable25"/>
    <pivotTable tabId="3" name="PivotTable26"/>
    <pivotTable tabId="3" name="PivotTable29"/>
    <pivotTable tabId="3" name="PivotTable30"/>
  </pivotTables>
  <data>
    <olap pivotCacheId="973938398">
      <levels count="2">
        <level uniqueName="[Table2].[Customer Name].[(All)]" sourceCaption="(All)" count="0"/>
        <level uniqueName="[Table2].[Customer Name].[Customer Name]" sourceCaption="Customer Name" count="15">
          <ranges>
            <range startItem="0">
              <i n="[Table2].[Customer Name].&amp;[Company A]" c="Company A"/>
              <i n="[Table2].[Customer Name].&amp;[Company AA]" c="Company AA"/>
              <i n="[Table2].[Customer Name].&amp;[Company BB]" c="Company BB"/>
              <i n="[Table2].[Customer Name].&amp;[Company C]" c="Company C"/>
              <i n="[Table2].[Customer Name].&amp;[Company CC]" c="Company CC"/>
              <i n="[Table2].[Customer Name].&amp;[Company D]" c="Company D"/>
              <i n="[Table2].[Customer Name].&amp;[Company F]" c="Company F"/>
              <i n="[Table2].[Customer Name].&amp;[Company G]" c="Company G"/>
              <i n="[Table2].[Customer Name].&amp;[Company H]" c="Company H"/>
              <i n="[Table2].[Customer Name].&amp;[Company I]" c="Company I"/>
              <i n="[Table2].[Customer Name].&amp;[Company J]" c="Company J"/>
              <i n="[Table2].[Customer Name].&amp;[Company K]" c="Company K"/>
              <i n="[Table2].[Customer Name].&amp;[Company L]" c="Company L"/>
              <i n="[Table2].[Customer Name].&amp;[Company Y]" c="Company Y"/>
              <i n="[Table2].[Customer Name].&amp;[Company Z]" c="Company Z"/>
            </range>
          </ranges>
        </level>
      </levels>
      <selections count="1">
        <selection n="[Table2].[Customer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E16F8C5-399E-4190-94C3-F4C5C07DD727}" sourceName="[Table2].[Salesperson]">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7"/>
    <pivotTable tabId="3" name="PivotTable28"/>
    <pivotTable tabId="3" name="PivotTable3"/>
    <pivotTable tabId="3" name="PivotTable4"/>
    <pivotTable tabId="3" name="PivotTable5"/>
    <pivotTable tabId="3" name="PivotTable6"/>
    <pivotTable tabId="3" name="PivotTable7"/>
    <pivotTable tabId="3" name="PivotTable8"/>
    <pivotTable tabId="3" name="PivotTable9"/>
    <pivotTable tabId="3" name="PivotTable26"/>
    <pivotTable tabId="3" name="PivotTable29"/>
    <pivotTable tabId="3" name="PivotTable30"/>
  </pivotTables>
  <data>
    <olap pivotCacheId="973938398">
      <levels count="2">
        <level uniqueName="[Table2].[Salesperson].[(All)]" sourceCaption="(All)" count="0"/>
        <level uniqueName="[Table2].[Salesperson].[Salesperson]" sourceCaption="Salesperson" count="8">
          <ranges>
            <range startItem="0">
              <i n="[Table2].[Salesperson].&amp;[Andrew Cencini]" c="Andrew Cencini"/>
              <i n="[Table2].[Salesperson].&amp;[Anne Larsen]" c="Anne Larsen"/>
              <i n="[Table2].[Salesperson].&amp;[Jan Kotas]" c="Jan Kotas"/>
              <i n="[Table2].[Salesperson].&amp;[Laura Giussani]" c="Laura Giussani"/>
              <i n="[Table2].[Salesperson].&amp;[Mariya Sergienko]" c="Mariya Sergienko"/>
              <i n="[Table2].[Salesperson].&amp;[Michael Neipper]" c="Michael Neipper"/>
              <i n="[Table2].[Salesperson].&amp;[Nancy Freehafer]" c="Nancy Freehafer"/>
              <i n="[Table2].[Salesperson].&amp;[Robert Zare]" c="Robert Zare"/>
            </range>
          </ranges>
        </level>
      </levels>
      <selections count="1">
        <selection n="[Table2].[Salesper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EF45DBE-9818-41DE-BBB4-2CD26590C95F}" sourceName="[Table2].[Product_Name]">
  <pivotTables>
    <pivotTable tabId="3" name="PivotTable5"/>
    <pivotTable tabId="3" name="PivotTable30"/>
  </pivotTables>
  <data>
    <olap pivotCacheId="973938398">
      <levels count="2">
        <level uniqueName="[Table2].[Product_Name].[(All)]" sourceCaption="(All)" count="0"/>
        <level uniqueName="[Table2].[Product_Name].[Product_Name]" sourceCaption="Product_Name" count="24">
          <ranges>
            <range startItem="0">
              <i n="[Table2].[Product_Name].&amp;[Almonds]" c="Almonds"/>
              <i n="[Table2].[Product_Name].&amp;[Beer]" c="Beer"/>
              <i n="[Table2].[Product_Name].&amp;[Boysenberry Spread]" c="Boysenberry Spread"/>
              <i n="[Table2].[Product_Name].&amp;[Cajun Seasoning]" c="Cajun Seasoning"/>
              <i n="[Table2].[Product_Name].&amp;[Chai]" c="Chai"/>
              <i n="[Table2].[Product_Name].&amp;[Chocolate]" c="Chocolate"/>
              <i n="[Table2].[Product_Name].&amp;[Chocolate Biscuits Mix]" c="Chocolate Biscuits Mix"/>
              <i n="[Table2].[Product_Name].&amp;[Clam Chowder]" c="Clam Chowder"/>
              <i n="[Table2].[Product_Name].&amp;[Coffee]" c="Coffee"/>
              <i n="[Table2].[Product_Name].&amp;[Crab Meat]" c="Crab Meat"/>
              <i n="[Table2].[Product_Name].&amp;[Curry Sauce]" c="Curry Sauce"/>
              <i n="[Table2].[Product_Name].&amp;[Dried Apples]" c="Dried Apples"/>
              <i n="[Table2].[Product_Name].&amp;[Dried Pears]" c="Dried Pears"/>
              <i n="[Table2].[Product_Name].&amp;[Dried Plums]" c="Dried Plums"/>
              <i n="[Table2].[Product_Name].&amp;[Fruit Cocktail]" c="Fruit Cocktail"/>
              <i n="[Table2].[Product_Name].&amp;[Gnocchi]" c="Gnocchi"/>
              <i n="[Table2].[Product_Name].&amp;[Green Tea]" c="Green Tea"/>
              <i n="[Table2].[Product_Name].&amp;[Long Grain Rice]" c="Long Grain Rice"/>
              <i n="[Table2].[Product_Name].&amp;[Marmalade]" c="Marmalade"/>
              <i n="[Table2].[Product_Name].&amp;[Mozzarella]" c="Mozzarella"/>
              <i n="[Table2].[Product_Name].&amp;[Olive Oil]" c="Olive Oil"/>
              <i n="[Table2].[Product_Name].&amp;[Ravioli]" c="Ravioli"/>
              <i n="[Table2].[Product_Name].&amp;[Scones]" c="Scones"/>
              <i n="[Table2].[Product_Name].&amp;[Syrup]" c="Syrup"/>
            </range>
          </ranges>
        </level>
      </levels>
      <selections count="1">
        <selection n="[Table2].[Product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1212591-00AB-46F4-A63C-44A7F7FEBC54}" sourceName="[Table2].[Category]">
  <pivotTables>
    <pivotTable tabId="3" name="PivotTable14"/>
  </pivotTables>
  <data>
    <olap pivotCacheId="973938398">
      <levels count="2">
        <level uniqueName="[Table2].[Category].[(All)]" sourceCaption="(All)" count="0"/>
        <level uniqueName="[Table2].[Category].[Category]" sourceCaption="Category" count="14">
          <ranges>
            <range startItem="0">
              <i n="[Table2].[Category].&amp;[Baked Goods &amp; Mixes]" c="Baked Goods &amp; Mixes"/>
              <i n="[Table2].[Category].&amp;[Beverages]" c="Beverages"/>
              <i n="[Table2].[Category].&amp;[Candy]" c="Candy"/>
              <i n="[Table2].[Category].&amp;[Canned Meat]" c="Canned Meat"/>
              <i n="[Table2].[Category].&amp;[Condiments]" c="Condiments"/>
              <i n="[Table2].[Category].&amp;[Dairy Products]" c="Dairy Products"/>
              <i n="[Table2].[Category].&amp;[Dried Fruit &amp; Nuts]" c="Dried Fruit &amp; Nuts"/>
              <i n="[Table2].[Category].&amp;[Fruit &amp; Veg]" c="Fruit &amp; Veg"/>
              <i n="[Table2].[Category].&amp;[Grains]" c="Grains"/>
              <i n="[Table2].[Category].&amp;[Jams, Preserves]" c="Jams, Preserves"/>
              <i n="[Table2].[Category].&amp;[Oil]" c="Oil"/>
              <i n="[Table2].[Category].&amp;[Pasta]" c="Pasta"/>
              <i n="[Table2].[Category].&amp;[Sauces]" c="Sauces"/>
              <i n="[Table2].[Category].&amp;[Soups]" c="Soups"/>
            </range>
          </ranges>
        </level>
      </levels>
      <selections count="1">
        <selection n="[Table2].[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1" xr10:uid="{ADDE55DF-28BB-4918-9E7D-6A9F981B3FAA}" sourceName="[Table2].[Payment_Type]">
  <pivotTables>
    <pivotTable tabId="3" name="PivotTable1"/>
    <pivotTable tabId="3" name="PivotTable10"/>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7"/>
    <pivotTable tabId="3" name="PivotTable28"/>
    <pivotTable tabId="3" name="PivotTable3"/>
    <pivotTable tabId="3" name="PivotTable4"/>
    <pivotTable tabId="3" name="PivotTable5"/>
    <pivotTable tabId="3" name="PivotTable6"/>
    <pivotTable tabId="3" name="PivotTable7"/>
    <pivotTable tabId="3" name="PivotTable8"/>
    <pivotTable tabId="3" name="PivotTable9"/>
    <pivotTable tabId="3" name="PivotTable11"/>
    <pivotTable tabId="3" name="PivotTable24"/>
    <pivotTable tabId="3" name="PivotTable25"/>
    <pivotTable tabId="3" name="PivotTable26"/>
    <pivotTable tabId="3" name="PivotTable29"/>
    <pivotTable tabId="3" name="PivotTable30"/>
  </pivotTables>
  <data>
    <olap pivotCacheId="973938398">
      <levels count="2">
        <level uniqueName="[Table2].[Payment_Type].[(All)]" sourceCaption="(All)" count="0"/>
        <level uniqueName="[Table2].[Payment_Type].[Payment_Type]" sourceCaption="Payment_Type" count="3">
          <ranges>
            <range startItem="0">
              <i n="[Table2].[Payment_Type].&amp;[Cash]" c="Cash"/>
              <i n="[Table2].[Payment_Type].&amp;[Check]" c="Check"/>
              <i n="[Table2].[Payment_Type].&amp;[Credit Card]" c="Credit Card"/>
            </range>
          </ranges>
        </level>
      </levels>
      <selections count="1">
        <selection n="[Table2].[Payment_Typ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er_Name" xr10:uid="{F2128631-1C7F-4809-97FA-CCAB1FC34ADF}" sourceName="[Table2].[Shipper_Name]">
  <pivotTables>
    <pivotTable tabId="3" name="PivotTable16"/>
    <pivotTable tabId="3" name="PivotTable1"/>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7"/>
    <pivotTable tabId="3" name="PivotTable28"/>
    <pivotTable tabId="3" name="PivotTable3"/>
    <pivotTable tabId="3" name="PivotTable4"/>
    <pivotTable tabId="3" name="PivotTable5"/>
    <pivotTable tabId="3" name="PivotTable6"/>
    <pivotTable tabId="3" name="PivotTable7"/>
    <pivotTable tabId="3" name="PivotTable8"/>
    <pivotTable tabId="3" name="PivotTable9"/>
    <pivotTable tabId="3" name="PivotTable26"/>
    <pivotTable tabId="3" name="PivotTable29"/>
    <pivotTable tabId="3" name="PivotTable30"/>
  </pivotTables>
  <data>
    <olap pivotCacheId="973938398">
      <levels count="2">
        <level uniqueName="[Table2].[Shipper_Name].[(All)]" sourceCaption="(All)" count="0"/>
        <level uniqueName="[Table2].[Shipper_Name].[Shipper_Name]" sourceCaption="Shipper_Name" count="4">
          <ranges>
            <range startItem="0">
              <i n="[Table2].[Shipper_Name].&amp;[Shipping Company A]" c="Shipping Company A"/>
              <i n="[Table2].[Shipper_Name].&amp;[Shipping Company B]" c="Shipping Company B"/>
              <i n="[Table2].[Shipper_Name].&amp;[Shipping Company C]" c="Shipping Company C"/>
              <i n="[Table2].[Shipper_Name].&amp;[Unavailable]" c="Unavailable"/>
            </range>
          </ranges>
        </level>
      </levels>
      <selections count="1">
        <selection n="[Table2].[Shipper_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94193F1-A332-4BD9-96E0-B4D565B3181D}" sourceName="[Table2].[Region]">
  <pivotTables>
    <pivotTable tabId="3" name="PivotTable1"/>
    <pivotTable tabId="3" name="PivotTable10"/>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7"/>
    <pivotTable tabId="3" name="PivotTable28"/>
    <pivotTable tabId="3" name="PivotTable3"/>
    <pivotTable tabId="3" name="PivotTable4"/>
    <pivotTable tabId="3" name="PivotTable5"/>
    <pivotTable tabId="3" name="PivotTable6"/>
    <pivotTable tabId="3" name="PivotTable7"/>
    <pivotTable tabId="3" name="PivotTable8"/>
    <pivotTable tabId="3" name="PivotTable9"/>
    <pivotTable tabId="3" name="PivotTable11"/>
    <pivotTable tabId="3" name="PivotTable24"/>
    <pivotTable tabId="3" name="PivotTable25"/>
    <pivotTable tabId="3" name="PivotTable26"/>
    <pivotTable tabId="3" name="PivotTable29"/>
    <pivotTable tabId="3" name="PivotTable30"/>
  </pivotTables>
  <data>
    <olap pivotCacheId="973938398">
      <levels count="2">
        <level uniqueName="[Table2].[Region].[(All)]" sourceCaption="(All)" count="0"/>
        <level uniqueName="[Table2].[Region].[Region]" sourceCaption="Region" count="4">
          <ranges>
            <range startItem="0">
              <i n="[Table2].[Region].&amp;[East]" c="East"/>
              <i n="[Table2].[Region].&amp;[North]" c="North"/>
              <i n="[Table2].[Region].&amp;[South]" c="South"/>
              <i n="[Table2].[Region].&amp;[West]" c="West"/>
            </range>
          </ranges>
        </level>
      </levels>
      <selections count="1">
        <selection n="[Table2].[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1" xr10:uid="{EBB8046C-0422-44BA-B9BB-9C7C32DBC7E7}" cache="Slicer_Customer_Name" caption="Customer Name" columnCount="3" level="1" style="SlicerStyleDark4" rowHeight="216000"/>
  <slicer name="Customer Name" xr10:uid="{2C905308-B31F-4FB8-94EF-C0A0273B1CEC}" cache="Slicer_Customer_Name" caption="Customer Name" columnCount="3" level="1" style="SlicerStyleDark4" rowHeight="180000"/>
  <slicer name="Salesperson" xr10:uid="{F64503D3-7A71-4ADE-B5DD-46D226F650CF}" cache="Slicer_Salesperson" caption="Salesperson" level="1" style="SlicerStyleDark4" rowHeight="216000"/>
  <slicer name="Product_Name" xr10:uid="{6F93EBE7-9924-4DD2-A779-96868375DDE3}" cache="Slicer_Product_Name" caption="Product_Name" columnCount="3" level="1" style="SlicerStyleDark4" rowHeight="241300"/>
  <slicer name="Category" xr10:uid="{084228A7-673D-4D6C-B528-B5948274B742}" cache="Slicer_Category" caption="Category" columnCount="3" level="1" style="SlicerStyleDark4" rowHeight="241300"/>
  <slicer name="Payment_Type 1" xr10:uid="{058BB4E9-D6A7-4A86-BA67-EDF021985A39}" cache="Slicer_Payment_Type1" caption="Payment_Type" level="1" style="SlicerStyleDark6" rowHeight="241300"/>
  <slicer name="Shipper_Name" xr10:uid="{2C59F9F6-2BCE-4ECF-9927-DBAA0EF82D1A}" cache="Slicer_Shipper_Name" caption="Shipper_Name" level="1" style="SlicerStyleDark6" rowHeight="241300"/>
  <slicer name="Region 1" xr10:uid="{5EE69DBE-99F4-40C5-AF90-027B6A5D2622}" cache="Slicer_Region1" caption="Region" level="1"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0BC4F0-0A1C-4A99-AD53-2C97427D2E79}" name="Table2" displayName="Table2" ref="B1:AF66" totalsRowShown="0" dataDxfId="265" tableBorderDxfId="264">
  <autoFilter ref="B1:AF66" xr:uid="{7D0BC4F0-0A1C-4A99-AD53-2C97427D2E79}"/>
  <tableColumns count="31">
    <tableColumn id="1" xr3:uid="{9E444B5C-F266-4FB5-B177-DAED0E4B4A89}" name="Order ID" dataDxfId="263" totalsRowDxfId="262"/>
    <tableColumn id="2" xr3:uid="{A682D6EA-47C4-4332-A066-AAA5B684B2AC}" name="Order Date" dataDxfId="261" totalsRowDxfId="260"/>
    <tableColumn id="3" xr3:uid="{D27FAFAA-0F2D-4833-9C6D-3FA12D71C4EF}" name="Customer_ID" dataDxfId="259" totalsRowDxfId="258"/>
    <tableColumn id="4" xr3:uid="{BA11C8D9-F781-4A43-AE41-4E05F6732823}" name="Customer Name" dataDxfId="257" totalsRowDxfId="256"/>
    <tableColumn id="5" xr3:uid="{7F56A948-6178-47A4-80FB-0EA3BC1075F8}" name="Address" dataDxfId="255" totalsRowDxfId="254"/>
    <tableColumn id="6" xr3:uid="{108EEAA9-3167-461F-891B-B3B4142B31F1}" name="City" dataDxfId="253" totalsRowDxfId="252"/>
    <tableColumn id="7" xr3:uid="{EB952A15-E699-4911-8811-419E6BC0C6A0}" name="State" dataDxfId="251" totalsRowDxfId="250"/>
    <tableColumn id="8" xr3:uid="{4A421949-23C5-47AD-93BE-A869510A22C0}" name="ZIP/Postal Code" dataDxfId="249" totalsRowDxfId="248"/>
    <tableColumn id="9" xr3:uid="{C1E7B7B8-52EB-4681-83A0-2B82E89D630B}" name="Country/Region" dataDxfId="247" totalsRowDxfId="246"/>
    <tableColumn id="10" xr3:uid="{08C47832-F91B-4991-AEA1-F6ECABACBF5A}" name="Salesperson" dataDxfId="245" totalsRowDxfId="244"/>
    <tableColumn id="11" xr3:uid="{C8978D8A-0787-4660-AFD2-8B7AC5433713}" name="Region" dataDxfId="243" totalsRowDxfId="242"/>
    <tableColumn id="12" xr3:uid="{4EFE9876-A74C-4A72-8C61-2C6029AE21CE}" name="Shipped_Date" dataDxfId="241" totalsRowDxfId="240"/>
    <tableColumn id="13" xr3:uid="{FE1F9D12-5B64-4322-A01A-C94175DE0CF8}" name="Shipper_Name" dataDxfId="239" totalsRowDxfId="238"/>
    <tableColumn id="14" xr3:uid="{69AD4163-9ABD-4097-9571-DFDAE6D728E6}" name="Ship Name" dataDxfId="237" totalsRowDxfId="236"/>
    <tableColumn id="15" xr3:uid="{D5ED5124-9DB9-47C2-9F81-6A93723820D8}" name="Ship Address" dataDxfId="235" totalsRowDxfId="234"/>
    <tableColumn id="16" xr3:uid="{64E530A1-A980-492F-A1DD-4D021C779D06}" name="Ship City" dataDxfId="233" totalsRowDxfId="232"/>
    <tableColumn id="17" xr3:uid="{2A93447D-6B3D-492A-8BE2-B63AE057358B}" name="Ship State" dataDxfId="231" totalsRowDxfId="230"/>
    <tableColumn id="18" xr3:uid="{8B8FC3EE-CEA9-48D4-A000-6FD52592C611}" name="Ship ZIP/Postal Code" dataDxfId="229" totalsRowDxfId="228"/>
    <tableColumn id="19" xr3:uid="{1CDDC2C6-5882-4D8F-ADB8-FEF5BE558249}" name="Ship Country/Region" dataDxfId="227" totalsRowDxfId="226"/>
    <tableColumn id="20" xr3:uid="{B2C13476-6CCA-48A0-B1CE-C6C6B02B0E48}" name="Payment_Type" dataDxfId="225" totalsRowDxfId="224"/>
    <tableColumn id="21" xr3:uid="{B0EE31CB-CE36-4839-805A-DCB3046C9EEB}" name="Product_Name" dataDxfId="223" totalsRowDxfId="222"/>
    <tableColumn id="22" xr3:uid="{A90F24D3-6541-4B1F-93CF-0B137736C908}" name="Category" dataDxfId="221" totalsRowDxfId="220"/>
    <tableColumn id="23" xr3:uid="{666D98E3-69FD-4AFA-9FA1-B111D4AF1966}" name="Unit Price" dataDxfId="219" totalsRowDxfId="218" dataCellStyle="Currency" totalsRowCellStyle="Currency"/>
    <tableColumn id="24" xr3:uid="{E0C2BA1A-6C21-46B6-8440-13C5AEE1B5D2}" name="Quantity" dataDxfId="217" totalsRowDxfId="216"/>
    <tableColumn id="25" xr3:uid="{DB2D58DD-CD99-4BCA-A4EC-E7968D448E8B}" name="Revenue" dataDxfId="215" totalsRowDxfId="214" dataCellStyle="Currency" totalsRowCellStyle="Currency"/>
    <tableColumn id="26" xr3:uid="{4B4B3CD6-4CCF-45F2-9053-BCC3F968ACFF}" name="Shipping Fee" dataDxfId="213" totalsRowDxfId="212"/>
    <tableColumn id="28" xr3:uid="{5ED5CEAD-7C4B-4C43-B127-34A0883E05CA}" name="Day" dataDxfId="211">
      <calculatedColumnFormula>TEXT(Table2[[#This Row],[Order Date]],"ddd")</calculatedColumnFormula>
    </tableColumn>
    <tableColumn id="27" xr3:uid="{04CE19AA-DD1D-4EEE-9B88-D143CFAAB622}" name="Delivery Time" dataDxfId="210"/>
    <tableColumn id="29" xr3:uid="{9C81B1E8-94FF-4FB7-9EFC-0412EE390B9F}" name="Customer Segmentation" dataDxfId="209">
      <calculatedColumnFormula>_xlfn.IFS(Table2[[#This Row],[Revenue]]&gt;=2000,"High_Spender",Table2[[#This Row],[Revenue]]&gt;=1000,"Middle_Spender",Table2[[#This Row],[Revenue]]&lt;1000,"Low_Spender")</calculatedColumnFormula>
    </tableColumn>
    <tableColumn id="30" xr3:uid="{AA9C6FAD-1F19-430A-A6E8-E97BE6DFB2E3}" name="Weekday" dataDxfId="208">
      <calculatedColumnFormula>WEEKDAY(Table2[[#This Row],[Shipped_Date]])</calculatedColumnFormula>
    </tableColumn>
    <tableColumn id="31" xr3:uid="{1352F4CB-ACC7-4EA0-AD30-10D174E40806}" name="Week Status" dataDxfId="207">
      <calculatedColumnFormula>IF(Table2[[#This Row],[Weekday]]&gt;5,"Weekend","Weekday")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drawing" Target="../drawings/drawing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90A3B-2975-4E3E-9113-E58D00A3714D}">
  <dimension ref="A1:AF66"/>
  <sheetViews>
    <sheetView workbookViewId="0">
      <selection activeCell="AH10" sqref="AH10"/>
    </sheetView>
  </sheetViews>
  <sheetFormatPr defaultRowHeight="15"/>
  <cols>
    <col min="1" max="1" width="19.5703125" style="36" customWidth="1"/>
    <col min="2" max="2" width="10.5703125" customWidth="1"/>
    <col min="3" max="3" width="13" style="6" bestFit="1" customWidth="1"/>
    <col min="4" max="4" width="14.5703125" style="8" customWidth="1"/>
    <col min="5" max="5" width="17.42578125" style="17" customWidth="1"/>
    <col min="6" max="6" width="14.28515625" style="17" bestFit="1" customWidth="1"/>
    <col min="7" max="8" width="9.140625" style="17"/>
    <col min="9" max="9" width="17.140625" style="8" customWidth="1"/>
    <col min="10" max="10" width="17.140625" style="17" customWidth="1"/>
    <col min="11" max="11" width="13.85546875" style="17" customWidth="1"/>
    <col min="12" max="12" width="9.28515625" style="17" customWidth="1"/>
    <col min="13" max="13" width="15.5703125" style="6" customWidth="1"/>
    <col min="14" max="14" width="19.42578125" style="17" bestFit="1" customWidth="1"/>
    <col min="15" max="15" width="21.5703125" style="17" bestFit="1" customWidth="1"/>
    <col min="16" max="16" width="14.5703125" style="17" customWidth="1"/>
    <col min="17" max="17" width="10.85546875" style="17" customWidth="1"/>
    <col min="18" max="18" width="12" style="17" customWidth="1"/>
    <col min="19" max="19" width="21.42578125" style="8" customWidth="1"/>
    <col min="20" max="20" width="21.42578125" style="17" customWidth="1"/>
    <col min="21" max="21" width="16.28515625" style="17" customWidth="1"/>
    <col min="22" max="22" width="21" style="17" bestFit="1" customWidth="1"/>
    <col min="23" max="23" width="20.28515625" style="17" bestFit="1" customWidth="1"/>
    <col min="24" max="24" width="11.85546875" style="20" customWidth="1"/>
    <col min="25" max="25" width="10.85546875" style="8" customWidth="1"/>
    <col min="26" max="26" width="11" style="25" customWidth="1"/>
    <col min="27" max="27" width="14.5703125" style="25" customWidth="1"/>
    <col min="29" max="29" width="15.7109375" bestFit="1" customWidth="1"/>
    <col min="30" max="30" width="25.140625" bestFit="1" customWidth="1"/>
    <col min="31" max="31" width="11.7109375" bestFit="1" customWidth="1"/>
    <col min="32" max="32" width="17.7109375" bestFit="1" customWidth="1"/>
  </cols>
  <sheetData>
    <row r="1" spans="2:32">
      <c r="B1" s="26" t="s">
        <v>0</v>
      </c>
      <c r="C1" s="27" t="s">
        <v>1</v>
      </c>
      <c r="D1" s="28" t="s">
        <v>152</v>
      </c>
      <c r="E1" s="29" t="s">
        <v>3</v>
      </c>
      <c r="F1" s="29" t="s">
        <v>4</v>
      </c>
      <c r="G1" s="29" t="s">
        <v>5</v>
      </c>
      <c r="H1" s="29" t="s">
        <v>6</v>
      </c>
      <c r="I1" s="28" t="s">
        <v>7</v>
      </c>
      <c r="J1" s="29" t="s">
        <v>8</v>
      </c>
      <c r="K1" s="29" t="s">
        <v>9</v>
      </c>
      <c r="L1" s="29" t="s">
        <v>10</v>
      </c>
      <c r="M1" s="27" t="s">
        <v>153</v>
      </c>
      <c r="N1" s="29" t="s">
        <v>154</v>
      </c>
      <c r="O1" s="29" t="s">
        <v>13</v>
      </c>
      <c r="P1" s="29" t="s">
        <v>14</v>
      </c>
      <c r="Q1" s="29" t="s">
        <v>15</v>
      </c>
      <c r="R1" s="29" t="s">
        <v>16</v>
      </c>
      <c r="S1" s="28" t="s">
        <v>17</v>
      </c>
      <c r="T1" s="29" t="s">
        <v>18</v>
      </c>
      <c r="U1" s="29" t="s">
        <v>155</v>
      </c>
      <c r="V1" s="29" t="s">
        <v>156</v>
      </c>
      <c r="W1" s="29" t="s">
        <v>21</v>
      </c>
      <c r="X1" s="30" t="s">
        <v>22</v>
      </c>
      <c r="Y1" s="28" t="s">
        <v>23</v>
      </c>
      <c r="Z1" s="31" t="s">
        <v>24</v>
      </c>
      <c r="AA1" s="31" t="s">
        <v>25</v>
      </c>
      <c r="AB1" t="s">
        <v>173</v>
      </c>
      <c r="AC1" t="s">
        <v>174</v>
      </c>
      <c r="AD1" t="s">
        <v>187</v>
      </c>
      <c r="AE1" t="s">
        <v>202</v>
      </c>
      <c r="AF1" t="s">
        <v>204</v>
      </c>
    </row>
    <row r="2" spans="2:32">
      <c r="B2" s="9">
        <v>1368</v>
      </c>
      <c r="C2" s="11">
        <v>42000</v>
      </c>
      <c r="D2" s="10">
        <v>27</v>
      </c>
      <c r="E2" s="15" t="s">
        <v>26</v>
      </c>
      <c r="F2" s="15" t="s">
        <v>27</v>
      </c>
      <c r="G2" s="15" t="s">
        <v>28</v>
      </c>
      <c r="H2" s="15" t="s">
        <v>29</v>
      </c>
      <c r="I2" s="10">
        <v>99999</v>
      </c>
      <c r="J2" s="15" t="s">
        <v>30</v>
      </c>
      <c r="K2" s="15" t="s">
        <v>31</v>
      </c>
      <c r="L2" s="15" t="s">
        <v>32</v>
      </c>
      <c r="M2" s="11">
        <v>42002</v>
      </c>
      <c r="N2" s="15" t="s">
        <v>33</v>
      </c>
      <c r="O2" s="15" t="s">
        <v>34</v>
      </c>
      <c r="P2" s="15" t="s">
        <v>27</v>
      </c>
      <c r="Q2" s="15" t="s">
        <v>28</v>
      </c>
      <c r="R2" s="15" t="s">
        <v>29</v>
      </c>
      <c r="S2" s="10">
        <v>99999</v>
      </c>
      <c r="T2" s="15" t="s">
        <v>30</v>
      </c>
      <c r="U2" s="15" t="s">
        <v>35</v>
      </c>
      <c r="V2" s="15" t="s">
        <v>36</v>
      </c>
      <c r="W2" s="15" t="s">
        <v>37</v>
      </c>
      <c r="X2" s="18">
        <v>14</v>
      </c>
      <c r="Y2" s="10">
        <v>19</v>
      </c>
      <c r="Z2" s="21">
        <v>266</v>
      </c>
      <c r="AA2" s="22">
        <v>25.802</v>
      </c>
      <c r="AB2" s="34" t="str">
        <f>TEXT(Table2[[#This Row],[Order Date]],"ddd")</f>
        <v>Sat</v>
      </c>
      <c r="AC2">
        <v>2</v>
      </c>
      <c r="AD2" s="34" t="str">
        <f>_xlfn.IFS(Table2[[#This Row],[Revenue]]&gt;=2000,"High_Spender",Table2[[#This Row],[Revenue]]&gt;=1000,"Middle_Spender",Table2[[#This Row],[Revenue]]&lt;1000,"Low_Spender")</f>
        <v>Low_Spender</v>
      </c>
      <c r="AE2" s="34">
        <f>WEEKDAY(Table2[[#This Row],[Shipped_Date]])</f>
        <v>2</v>
      </c>
      <c r="AF2" s="42" t="str">
        <f>IF(Table2[[#This Row],[Weekday]]&gt;5,"Weekend","Weekday")</f>
        <v>Weekday</v>
      </c>
    </row>
    <row r="3" spans="2:32">
      <c r="B3" s="12">
        <v>1369</v>
      </c>
      <c r="C3" s="14">
        <v>42000</v>
      </c>
      <c r="D3" s="13">
        <v>27</v>
      </c>
      <c r="E3" s="16" t="s">
        <v>26</v>
      </c>
      <c r="F3" s="16" t="s">
        <v>27</v>
      </c>
      <c r="G3" s="16" t="s">
        <v>28</v>
      </c>
      <c r="H3" s="16" t="s">
        <v>29</v>
      </c>
      <c r="I3" s="13">
        <v>99999</v>
      </c>
      <c r="J3" s="16" t="s">
        <v>30</v>
      </c>
      <c r="K3" s="16" t="s">
        <v>31</v>
      </c>
      <c r="L3" s="16" t="s">
        <v>32</v>
      </c>
      <c r="M3" s="14">
        <v>42002</v>
      </c>
      <c r="N3" s="16" t="s">
        <v>33</v>
      </c>
      <c r="O3" s="16" t="s">
        <v>34</v>
      </c>
      <c r="P3" s="16" t="s">
        <v>27</v>
      </c>
      <c r="Q3" s="16" t="s">
        <v>28</v>
      </c>
      <c r="R3" s="16" t="s">
        <v>29</v>
      </c>
      <c r="S3" s="13">
        <v>99999</v>
      </c>
      <c r="T3" s="16" t="s">
        <v>30</v>
      </c>
      <c r="U3" s="16" t="s">
        <v>35</v>
      </c>
      <c r="V3" s="16" t="s">
        <v>38</v>
      </c>
      <c r="W3" s="16" t="s">
        <v>39</v>
      </c>
      <c r="X3" s="19">
        <v>3.5</v>
      </c>
      <c r="Y3" s="13">
        <v>60</v>
      </c>
      <c r="Z3" s="23">
        <v>210</v>
      </c>
      <c r="AA3" s="24">
        <v>20.16</v>
      </c>
      <c r="AB3" s="34" t="str">
        <f>TEXT(Table2[[#This Row],[Order Date]],"ddd")</f>
        <v>Sat</v>
      </c>
      <c r="AC3">
        <v>2</v>
      </c>
      <c r="AD3" s="34" t="str">
        <f>_xlfn.IFS(Table2[[#This Row],[Revenue]]&gt;=2000,"High_Spender",Table2[[#This Row],[Revenue]]&gt;=1000,"Middle_Spender",Table2[[#This Row],[Revenue]]&lt;1000,"Low_Spender")</f>
        <v>Low_Spender</v>
      </c>
      <c r="AE3" s="34">
        <f>WEEKDAY(Table2[[#This Row],[Shipped_Date]])</f>
        <v>2</v>
      </c>
      <c r="AF3" s="42" t="str">
        <f>IF(Table2[[#This Row],[Weekday]]&gt;5,"Weekend","Weekday")</f>
        <v>Weekday</v>
      </c>
    </row>
    <row r="4" spans="2:32">
      <c r="B4" s="9">
        <v>1370</v>
      </c>
      <c r="C4" s="11">
        <v>41977</v>
      </c>
      <c r="D4" s="10">
        <v>4</v>
      </c>
      <c r="E4" s="15" t="s">
        <v>40</v>
      </c>
      <c r="F4" s="15" t="s">
        <v>41</v>
      </c>
      <c r="G4" s="15" t="s">
        <v>42</v>
      </c>
      <c r="H4" s="15" t="s">
        <v>43</v>
      </c>
      <c r="I4" s="10">
        <v>99999</v>
      </c>
      <c r="J4" s="15" t="s">
        <v>30</v>
      </c>
      <c r="K4" s="15" t="s">
        <v>44</v>
      </c>
      <c r="L4" s="15" t="s">
        <v>45</v>
      </c>
      <c r="M4" s="11">
        <v>41979</v>
      </c>
      <c r="N4" s="15" t="s">
        <v>46</v>
      </c>
      <c r="O4" s="15" t="s">
        <v>47</v>
      </c>
      <c r="P4" s="15" t="s">
        <v>41</v>
      </c>
      <c r="Q4" s="15" t="s">
        <v>42</v>
      </c>
      <c r="R4" s="15" t="s">
        <v>43</v>
      </c>
      <c r="S4" s="10">
        <v>99999</v>
      </c>
      <c r="T4" s="15" t="s">
        <v>30</v>
      </c>
      <c r="U4" s="15" t="s">
        <v>48</v>
      </c>
      <c r="V4" s="15" t="s">
        <v>49</v>
      </c>
      <c r="W4" s="15" t="s">
        <v>39</v>
      </c>
      <c r="X4" s="18">
        <v>30</v>
      </c>
      <c r="Y4" s="10">
        <v>81</v>
      </c>
      <c r="Z4" s="21">
        <v>2430</v>
      </c>
      <c r="AA4" s="22">
        <v>255.15</v>
      </c>
      <c r="AB4" s="34" t="str">
        <f>TEXT(Table2[[#This Row],[Order Date]],"ddd")</f>
        <v>Thu</v>
      </c>
      <c r="AC4">
        <v>2</v>
      </c>
      <c r="AD4" s="34" t="str">
        <f>_xlfn.IFS(Table2[[#This Row],[Revenue]]&gt;=2000,"High_Spender",Table2[[#This Row],[Revenue]]&gt;=1000,"Middle_Spender",Table2[[#This Row],[Revenue]]&lt;1000,"Low_Spender")</f>
        <v>High_Spender</v>
      </c>
      <c r="AE4" s="34">
        <f>WEEKDAY(Table2[[#This Row],[Shipped_Date]])</f>
        <v>7</v>
      </c>
      <c r="AF4" s="42" t="str">
        <f>IF(Table2[[#This Row],[Weekday]]&gt;5,"Weekend","Weekday")</f>
        <v>Weekend</v>
      </c>
    </row>
    <row r="5" spans="2:32">
      <c r="B5" s="12">
        <v>1371</v>
      </c>
      <c r="C5" s="14">
        <v>41977</v>
      </c>
      <c r="D5" s="13">
        <v>4</v>
      </c>
      <c r="E5" s="16" t="s">
        <v>40</v>
      </c>
      <c r="F5" s="16" t="s">
        <v>41</v>
      </c>
      <c r="G5" s="16" t="s">
        <v>42</v>
      </c>
      <c r="H5" s="16" t="s">
        <v>43</v>
      </c>
      <c r="I5" s="13">
        <v>99999</v>
      </c>
      <c r="J5" s="16" t="s">
        <v>30</v>
      </c>
      <c r="K5" s="16" t="s">
        <v>44</v>
      </c>
      <c r="L5" s="16" t="s">
        <v>45</v>
      </c>
      <c r="M5" s="14">
        <v>41979</v>
      </c>
      <c r="N5" s="16" t="s">
        <v>46</v>
      </c>
      <c r="O5" s="16" t="s">
        <v>47</v>
      </c>
      <c r="P5" s="16" t="s">
        <v>41</v>
      </c>
      <c r="Q5" s="16" t="s">
        <v>42</v>
      </c>
      <c r="R5" s="16" t="s">
        <v>43</v>
      </c>
      <c r="S5" s="13">
        <v>99999</v>
      </c>
      <c r="T5" s="16" t="s">
        <v>30</v>
      </c>
      <c r="U5" s="16" t="s">
        <v>48</v>
      </c>
      <c r="V5" s="16" t="s">
        <v>50</v>
      </c>
      <c r="W5" s="16" t="s">
        <v>39</v>
      </c>
      <c r="X5" s="19">
        <v>53</v>
      </c>
      <c r="Y5" s="13">
        <v>83</v>
      </c>
      <c r="Z5" s="23">
        <v>4399</v>
      </c>
      <c r="AA5" s="24">
        <v>461.89499999999998</v>
      </c>
      <c r="AB5" s="34" t="str">
        <f>TEXT(Table2[[#This Row],[Order Date]],"ddd")</f>
        <v>Thu</v>
      </c>
      <c r="AC5">
        <v>2</v>
      </c>
      <c r="AD5" s="34" t="str">
        <f>_xlfn.IFS(Table2[[#This Row],[Revenue]]&gt;=2000,"High_Spender",Table2[[#This Row],[Revenue]]&gt;=1000,"Middle_Spender",Table2[[#This Row],[Revenue]]&lt;1000,"Low_Spender")</f>
        <v>High_Spender</v>
      </c>
      <c r="AE5" s="34">
        <f>WEEKDAY(Table2[[#This Row],[Shipped_Date]])</f>
        <v>7</v>
      </c>
      <c r="AF5" s="42" t="str">
        <f>IF(Table2[[#This Row],[Weekday]]&gt;5,"Weekend","Weekday")</f>
        <v>Weekend</v>
      </c>
    </row>
    <row r="6" spans="2:32">
      <c r="B6" s="9">
        <v>1372</v>
      </c>
      <c r="C6" s="11">
        <v>41977</v>
      </c>
      <c r="D6" s="10">
        <v>4</v>
      </c>
      <c r="E6" s="15" t="s">
        <v>40</v>
      </c>
      <c r="F6" s="15" t="s">
        <v>41</v>
      </c>
      <c r="G6" s="15" t="s">
        <v>42</v>
      </c>
      <c r="H6" s="15" t="s">
        <v>43</v>
      </c>
      <c r="I6" s="10">
        <v>99999</v>
      </c>
      <c r="J6" s="15" t="s">
        <v>30</v>
      </c>
      <c r="K6" s="15" t="s">
        <v>44</v>
      </c>
      <c r="L6" s="15" t="s">
        <v>45</v>
      </c>
      <c r="M6" s="11">
        <v>41979</v>
      </c>
      <c r="N6" s="15" t="s">
        <v>46</v>
      </c>
      <c r="O6" s="15" t="s">
        <v>47</v>
      </c>
      <c r="P6" s="15" t="s">
        <v>41</v>
      </c>
      <c r="Q6" s="15" t="s">
        <v>42</v>
      </c>
      <c r="R6" s="15" t="s">
        <v>43</v>
      </c>
      <c r="S6" s="10">
        <v>99999</v>
      </c>
      <c r="T6" s="15" t="s">
        <v>30</v>
      </c>
      <c r="U6" s="15" t="s">
        <v>48</v>
      </c>
      <c r="V6" s="15" t="s">
        <v>38</v>
      </c>
      <c r="W6" s="15" t="s">
        <v>39</v>
      </c>
      <c r="X6" s="18">
        <v>3.5</v>
      </c>
      <c r="Y6" s="10">
        <v>75</v>
      </c>
      <c r="Z6" s="21">
        <v>262.5</v>
      </c>
      <c r="AA6" s="22">
        <v>26.25</v>
      </c>
      <c r="AB6" s="34" t="str">
        <f>TEXT(Table2[[#This Row],[Order Date]],"ddd")</f>
        <v>Thu</v>
      </c>
      <c r="AC6">
        <v>2</v>
      </c>
      <c r="AD6" s="34" t="str">
        <f>_xlfn.IFS(Table2[[#This Row],[Revenue]]&gt;=2000,"High_Spender",Table2[[#This Row],[Revenue]]&gt;=1000,"Middle_Spender",Table2[[#This Row],[Revenue]]&lt;1000,"Low_Spender")</f>
        <v>Low_Spender</v>
      </c>
      <c r="AE6" s="34">
        <f>WEEKDAY(Table2[[#This Row],[Shipped_Date]])</f>
        <v>7</v>
      </c>
      <c r="AF6" s="42" t="str">
        <f>IF(Table2[[#This Row],[Weekday]]&gt;5,"Weekend","Weekday")</f>
        <v>Weekend</v>
      </c>
    </row>
    <row r="7" spans="2:32">
      <c r="B7" s="12">
        <v>1373</v>
      </c>
      <c r="C7" s="14">
        <v>41985</v>
      </c>
      <c r="D7" s="13">
        <v>12</v>
      </c>
      <c r="E7" s="16" t="s">
        <v>51</v>
      </c>
      <c r="F7" s="16" t="s">
        <v>52</v>
      </c>
      <c r="G7" s="16" t="s">
        <v>28</v>
      </c>
      <c r="H7" s="16" t="s">
        <v>29</v>
      </c>
      <c r="I7" s="13">
        <v>99999</v>
      </c>
      <c r="J7" s="16" t="s">
        <v>30</v>
      </c>
      <c r="K7" s="16" t="s">
        <v>31</v>
      </c>
      <c r="L7" s="16" t="s">
        <v>32</v>
      </c>
      <c r="M7" s="14">
        <v>41987</v>
      </c>
      <c r="N7" s="16" t="s">
        <v>33</v>
      </c>
      <c r="O7" s="16" t="s">
        <v>53</v>
      </c>
      <c r="P7" s="16" t="s">
        <v>52</v>
      </c>
      <c r="Q7" s="16" t="s">
        <v>28</v>
      </c>
      <c r="R7" s="16" t="s">
        <v>29</v>
      </c>
      <c r="S7" s="13">
        <v>99999</v>
      </c>
      <c r="T7" s="16" t="s">
        <v>30</v>
      </c>
      <c r="U7" s="16" t="s">
        <v>48</v>
      </c>
      <c r="V7" s="16" t="s">
        <v>54</v>
      </c>
      <c r="W7" s="16" t="s">
        <v>37</v>
      </c>
      <c r="X7" s="19">
        <v>18</v>
      </c>
      <c r="Y7" s="13">
        <v>97</v>
      </c>
      <c r="Z7" s="23">
        <v>1746</v>
      </c>
      <c r="AA7" s="24">
        <v>183.33</v>
      </c>
      <c r="AB7" s="34" t="str">
        <f>TEXT(Table2[[#This Row],[Order Date]],"ddd")</f>
        <v>Fri</v>
      </c>
      <c r="AC7">
        <v>2</v>
      </c>
      <c r="AD7" s="34" t="str">
        <f>_xlfn.IFS(Table2[[#This Row],[Revenue]]&gt;=2000,"High_Spender",Table2[[#This Row],[Revenue]]&gt;=1000,"Middle_Spender",Table2[[#This Row],[Revenue]]&lt;1000,"Low_Spender")</f>
        <v>Middle_Spender</v>
      </c>
      <c r="AE7" s="34">
        <f>WEEKDAY(Table2[[#This Row],[Shipped_Date]])</f>
        <v>1</v>
      </c>
      <c r="AF7" s="42" t="str">
        <f>IF(Table2[[#This Row],[Weekday]]&gt;5,"Weekend","Weekday")</f>
        <v>Weekday</v>
      </c>
    </row>
    <row r="8" spans="2:32">
      <c r="B8" s="9">
        <v>1374</v>
      </c>
      <c r="C8" s="11">
        <v>41985</v>
      </c>
      <c r="D8" s="10">
        <v>12</v>
      </c>
      <c r="E8" s="15" t="s">
        <v>51</v>
      </c>
      <c r="F8" s="15" t="s">
        <v>52</v>
      </c>
      <c r="G8" s="15" t="s">
        <v>28</v>
      </c>
      <c r="H8" s="15" t="s">
        <v>29</v>
      </c>
      <c r="I8" s="10">
        <v>99999</v>
      </c>
      <c r="J8" s="15" t="s">
        <v>30</v>
      </c>
      <c r="K8" s="15" t="s">
        <v>31</v>
      </c>
      <c r="L8" s="15" t="s">
        <v>32</v>
      </c>
      <c r="M8" s="11">
        <v>41987</v>
      </c>
      <c r="N8" s="15" t="s">
        <v>33</v>
      </c>
      <c r="O8" s="15" t="s">
        <v>53</v>
      </c>
      <c r="P8" s="15" t="s">
        <v>52</v>
      </c>
      <c r="Q8" s="15" t="s">
        <v>28</v>
      </c>
      <c r="R8" s="15" t="s">
        <v>29</v>
      </c>
      <c r="S8" s="10">
        <v>99999</v>
      </c>
      <c r="T8" s="15" t="s">
        <v>30</v>
      </c>
      <c r="U8" s="15" t="s">
        <v>48</v>
      </c>
      <c r="V8" s="15" t="s">
        <v>55</v>
      </c>
      <c r="W8" s="15" t="s">
        <v>37</v>
      </c>
      <c r="X8" s="18">
        <v>46</v>
      </c>
      <c r="Y8" s="10">
        <v>61</v>
      </c>
      <c r="Z8" s="21">
        <v>2806</v>
      </c>
      <c r="AA8" s="22">
        <v>291.82400000000001</v>
      </c>
      <c r="AB8" s="34" t="str">
        <f>TEXT(Table2[[#This Row],[Order Date]],"ddd")</f>
        <v>Fri</v>
      </c>
      <c r="AC8">
        <v>2</v>
      </c>
      <c r="AD8" s="34" t="str">
        <f>_xlfn.IFS(Table2[[#This Row],[Revenue]]&gt;=2000,"High_Spender",Table2[[#This Row],[Revenue]]&gt;=1000,"Middle_Spender",Table2[[#This Row],[Revenue]]&lt;1000,"Low_Spender")</f>
        <v>High_Spender</v>
      </c>
      <c r="AE8" s="34">
        <f>WEEKDAY(Table2[[#This Row],[Shipped_Date]])</f>
        <v>1</v>
      </c>
      <c r="AF8" s="42" t="str">
        <f>IF(Table2[[#This Row],[Weekday]]&gt;5,"Weekend","Weekday")</f>
        <v>Weekday</v>
      </c>
    </row>
    <row r="9" spans="2:32">
      <c r="B9" s="12">
        <v>1375</v>
      </c>
      <c r="C9" s="14">
        <v>41981</v>
      </c>
      <c r="D9" s="13">
        <v>8</v>
      </c>
      <c r="E9" s="16" t="s">
        <v>56</v>
      </c>
      <c r="F9" s="16" t="s">
        <v>57</v>
      </c>
      <c r="G9" s="16" t="s">
        <v>58</v>
      </c>
      <c r="H9" s="16" t="s">
        <v>59</v>
      </c>
      <c r="I9" s="13">
        <v>99999</v>
      </c>
      <c r="J9" s="16" t="s">
        <v>30</v>
      </c>
      <c r="K9" s="16" t="s">
        <v>60</v>
      </c>
      <c r="L9" s="16" t="s">
        <v>61</v>
      </c>
      <c r="M9" s="14">
        <v>41983</v>
      </c>
      <c r="N9" s="16" t="s">
        <v>62</v>
      </c>
      <c r="O9" s="16" t="s">
        <v>63</v>
      </c>
      <c r="P9" s="16" t="s">
        <v>57</v>
      </c>
      <c r="Q9" s="16" t="s">
        <v>58</v>
      </c>
      <c r="R9" s="16" t="s">
        <v>59</v>
      </c>
      <c r="S9" s="13">
        <v>99999</v>
      </c>
      <c r="T9" s="16" t="s">
        <v>30</v>
      </c>
      <c r="U9" s="16" t="s">
        <v>48</v>
      </c>
      <c r="V9" s="16" t="s">
        <v>64</v>
      </c>
      <c r="W9" s="16" t="s">
        <v>65</v>
      </c>
      <c r="X9" s="19">
        <v>9.1999999999999993</v>
      </c>
      <c r="Y9" s="13">
        <v>28</v>
      </c>
      <c r="Z9" s="23">
        <v>257.60000000000002</v>
      </c>
      <c r="AA9" s="24">
        <v>24.472000000000001</v>
      </c>
      <c r="AB9" s="34" t="str">
        <f>TEXT(Table2[[#This Row],[Order Date]],"ddd")</f>
        <v>Mon</v>
      </c>
      <c r="AC9">
        <v>2</v>
      </c>
      <c r="AD9" s="34" t="str">
        <f>_xlfn.IFS(Table2[[#This Row],[Revenue]]&gt;=2000,"High_Spender",Table2[[#This Row],[Revenue]]&gt;=1000,"Middle_Spender",Table2[[#This Row],[Revenue]]&lt;1000,"Low_Spender")</f>
        <v>Low_Spender</v>
      </c>
      <c r="AE9" s="34">
        <f>WEEKDAY(Table2[[#This Row],[Shipped_Date]])</f>
        <v>4</v>
      </c>
      <c r="AF9" s="42" t="str">
        <f>IF(Table2[[#This Row],[Weekday]]&gt;5,"Weekend","Weekday")</f>
        <v>Weekday</v>
      </c>
    </row>
    <row r="10" spans="2:32">
      <c r="B10" s="9">
        <v>1376</v>
      </c>
      <c r="C10" s="11">
        <v>41977</v>
      </c>
      <c r="D10" s="10">
        <v>4</v>
      </c>
      <c r="E10" s="15" t="s">
        <v>40</v>
      </c>
      <c r="F10" s="15" t="s">
        <v>41</v>
      </c>
      <c r="G10" s="15" t="s">
        <v>42</v>
      </c>
      <c r="H10" s="15" t="s">
        <v>43</v>
      </c>
      <c r="I10" s="10">
        <v>99999</v>
      </c>
      <c r="J10" s="15" t="s">
        <v>30</v>
      </c>
      <c r="K10" s="15" t="s">
        <v>44</v>
      </c>
      <c r="L10" s="15" t="s">
        <v>45</v>
      </c>
      <c r="M10" s="11">
        <v>41979</v>
      </c>
      <c r="N10" s="15" t="s">
        <v>62</v>
      </c>
      <c r="O10" s="15" t="s">
        <v>47</v>
      </c>
      <c r="P10" s="15" t="s">
        <v>41</v>
      </c>
      <c r="Q10" s="15" t="s">
        <v>42</v>
      </c>
      <c r="R10" s="15" t="s">
        <v>43</v>
      </c>
      <c r="S10" s="10">
        <v>99999</v>
      </c>
      <c r="T10" s="15" t="s">
        <v>30</v>
      </c>
      <c r="U10" s="15" t="s">
        <v>35</v>
      </c>
      <c r="V10" s="15" t="s">
        <v>64</v>
      </c>
      <c r="W10" s="15" t="s">
        <v>65</v>
      </c>
      <c r="X10" s="18">
        <v>9.1999999999999993</v>
      </c>
      <c r="Y10" s="10">
        <v>97</v>
      </c>
      <c r="Z10" s="21">
        <v>892.4</v>
      </c>
      <c r="AA10" s="22">
        <v>93.701999999999998</v>
      </c>
      <c r="AB10" s="34" t="str">
        <f>TEXT(Table2[[#This Row],[Order Date]],"ddd")</f>
        <v>Thu</v>
      </c>
      <c r="AC10">
        <v>2</v>
      </c>
      <c r="AD10" s="34" t="str">
        <f>_xlfn.IFS(Table2[[#This Row],[Revenue]]&gt;=2000,"High_Spender",Table2[[#This Row],[Revenue]]&gt;=1000,"Middle_Spender",Table2[[#This Row],[Revenue]]&lt;1000,"Low_Spender")</f>
        <v>Low_Spender</v>
      </c>
      <c r="AE10" s="34">
        <f>WEEKDAY(Table2[[#This Row],[Shipped_Date]])</f>
        <v>7</v>
      </c>
      <c r="AF10" s="42" t="str">
        <f>IF(Table2[[#This Row],[Weekday]]&gt;5,"Weekend","Weekday")</f>
        <v>Weekend</v>
      </c>
    </row>
    <row r="11" spans="2:32">
      <c r="B11" s="12">
        <v>1377</v>
      </c>
      <c r="C11" s="14">
        <v>42002</v>
      </c>
      <c r="D11" s="13">
        <v>29</v>
      </c>
      <c r="E11" s="16" t="s">
        <v>66</v>
      </c>
      <c r="F11" s="16" t="s">
        <v>67</v>
      </c>
      <c r="G11" s="16" t="s">
        <v>68</v>
      </c>
      <c r="H11" s="16" t="s">
        <v>69</v>
      </c>
      <c r="I11" s="13">
        <v>99999</v>
      </c>
      <c r="J11" s="16" t="s">
        <v>30</v>
      </c>
      <c r="K11" s="16" t="s">
        <v>70</v>
      </c>
      <c r="L11" s="16" t="s">
        <v>32</v>
      </c>
      <c r="M11" s="14">
        <v>42004</v>
      </c>
      <c r="N11" s="16" t="s">
        <v>33</v>
      </c>
      <c r="O11" s="16" t="s">
        <v>71</v>
      </c>
      <c r="P11" s="16" t="s">
        <v>67</v>
      </c>
      <c r="Q11" s="16" t="s">
        <v>68</v>
      </c>
      <c r="R11" s="16" t="s">
        <v>69</v>
      </c>
      <c r="S11" s="13">
        <v>99999</v>
      </c>
      <c r="T11" s="16" t="s">
        <v>30</v>
      </c>
      <c r="U11" s="16" t="s">
        <v>35</v>
      </c>
      <c r="V11" s="16" t="s">
        <v>72</v>
      </c>
      <c r="W11" s="16" t="s">
        <v>73</v>
      </c>
      <c r="X11" s="19">
        <v>12.75</v>
      </c>
      <c r="Y11" s="13">
        <v>23</v>
      </c>
      <c r="Z11" s="23">
        <v>293.25</v>
      </c>
      <c r="AA11" s="24">
        <v>29.324999999999999</v>
      </c>
      <c r="AB11" s="34" t="str">
        <f>TEXT(Table2[[#This Row],[Order Date]],"ddd")</f>
        <v>Mon</v>
      </c>
      <c r="AC11">
        <v>2</v>
      </c>
      <c r="AD11" s="34" t="str">
        <f>_xlfn.IFS(Table2[[#This Row],[Revenue]]&gt;=2000,"High_Spender",Table2[[#This Row],[Revenue]]&gt;=1000,"Middle_Spender",Table2[[#This Row],[Revenue]]&lt;1000,"Low_Spender")</f>
        <v>Low_Spender</v>
      </c>
      <c r="AE11" s="34">
        <f>WEEKDAY(Table2[[#This Row],[Shipped_Date]])</f>
        <v>4</v>
      </c>
      <c r="AF11" s="42" t="str">
        <f>IF(Table2[[#This Row],[Weekday]]&gt;5,"Weekend","Weekday")</f>
        <v>Weekday</v>
      </c>
    </row>
    <row r="12" spans="2:32">
      <c r="B12" s="9">
        <v>1378</v>
      </c>
      <c r="C12" s="11">
        <v>41976</v>
      </c>
      <c r="D12" s="10">
        <v>3</v>
      </c>
      <c r="E12" s="15" t="s">
        <v>74</v>
      </c>
      <c r="F12" s="15" t="s">
        <v>75</v>
      </c>
      <c r="G12" s="15" t="s">
        <v>76</v>
      </c>
      <c r="H12" s="15" t="s">
        <v>77</v>
      </c>
      <c r="I12" s="10">
        <v>99999</v>
      </c>
      <c r="J12" s="15" t="s">
        <v>30</v>
      </c>
      <c r="K12" s="15" t="s">
        <v>31</v>
      </c>
      <c r="L12" s="15" t="s">
        <v>32</v>
      </c>
      <c r="M12" s="11">
        <v>41978</v>
      </c>
      <c r="N12" s="15" t="s">
        <v>33</v>
      </c>
      <c r="O12" s="15" t="s">
        <v>78</v>
      </c>
      <c r="P12" s="15" t="s">
        <v>75</v>
      </c>
      <c r="Q12" s="15" t="s">
        <v>76</v>
      </c>
      <c r="R12" s="15" t="s">
        <v>77</v>
      </c>
      <c r="S12" s="10">
        <v>99999</v>
      </c>
      <c r="T12" s="15" t="s">
        <v>30</v>
      </c>
      <c r="U12" s="15" t="s">
        <v>79</v>
      </c>
      <c r="V12" s="15" t="s">
        <v>80</v>
      </c>
      <c r="W12" s="15" t="s">
        <v>81</v>
      </c>
      <c r="X12" s="18">
        <v>9.65</v>
      </c>
      <c r="Y12" s="10">
        <v>89</v>
      </c>
      <c r="Z12" s="21">
        <v>858.85</v>
      </c>
      <c r="AA12" s="22">
        <v>81.59075</v>
      </c>
      <c r="AB12" s="34" t="str">
        <f>TEXT(Table2[[#This Row],[Order Date]],"ddd")</f>
        <v>Wed</v>
      </c>
      <c r="AC12">
        <v>2</v>
      </c>
      <c r="AD12" s="34" t="str">
        <f>_xlfn.IFS(Table2[[#This Row],[Revenue]]&gt;=2000,"High_Spender",Table2[[#This Row],[Revenue]]&gt;=1000,"Middle_Spender",Table2[[#This Row],[Revenue]]&lt;1000,"Low_Spender")</f>
        <v>Low_Spender</v>
      </c>
      <c r="AE12" s="34">
        <f>WEEKDAY(Table2[[#This Row],[Shipped_Date]])</f>
        <v>6</v>
      </c>
      <c r="AF12" s="42" t="str">
        <f>IF(Table2[[#This Row],[Weekday]]&gt;5,"Weekend","Weekday")</f>
        <v>Weekend</v>
      </c>
    </row>
    <row r="13" spans="2:32">
      <c r="B13" s="12">
        <v>1379</v>
      </c>
      <c r="C13" s="14">
        <v>41979</v>
      </c>
      <c r="D13" s="13">
        <v>6</v>
      </c>
      <c r="E13" s="16" t="s">
        <v>82</v>
      </c>
      <c r="F13" s="16" t="s">
        <v>83</v>
      </c>
      <c r="G13" s="16" t="s">
        <v>84</v>
      </c>
      <c r="H13" s="16" t="s">
        <v>85</v>
      </c>
      <c r="I13" s="13">
        <v>99999</v>
      </c>
      <c r="J13" s="16" t="s">
        <v>30</v>
      </c>
      <c r="K13" s="16" t="s">
        <v>86</v>
      </c>
      <c r="L13" s="16" t="s">
        <v>61</v>
      </c>
      <c r="M13" s="14">
        <v>41981</v>
      </c>
      <c r="N13" s="16" t="s">
        <v>33</v>
      </c>
      <c r="O13" s="16" t="s">
        <v>87</v>
      </c>
      <c r="P13" s="16" t="s">
        <v>83</v>
      </c>
      <c r="Q13" s="16" t="s">
        <v>84</v>
      </c>
      <c r="R13" s="16" t="s">
        <v>85</v>
      </c>
      <c r="S13" s="13">
        <v>99999</v>
      </c>
      <c r="T13" s="16" t="s">
        <v>30</v>
      </c>
      <c r="U13" s="16" t="s">
        <v>48</v>
      </c>
      <c r="V13" s="16" t="s">
        <v>88</v>
      </c>
      <c r="W13" s="16" t="s">
        <v>89</v>
      </c>
      <c r="X13" s="19">
        <v>40</v>
      </c>
      <c r="Y13" s="13">
        <v>25</v>
      </c>
      <c r="Z13" s="23">
        <v>1000</v>
      </c>
      <c r="AA13" s="24">
        <v>96</v>
      </c>
      <c r="AB13" s="34" t="str">
        <f>TEXT(Table2[[#This Row],[Order Date]],"ddd")</f>
        <v>Sat</v>
      </c>
      <c r="AC13">
        <v>2</v>
      </c>
      <c r="AD13" s="34" t="str">
        <f>_xlfn.IFS(Table2[[#This Row],[Revenue]]&gt;=2000,"High_Spender",Table2[[#This Row],[Revenue]]&gt;=1000,"Middle_Spender",Table2[[#This Row],[Revenue]]&lt;1000,"Low_Spender")</f>
        <v>Middle_Spender</v>
      </c>
      <c r="AE13" s="34">
        <f>WEEKDAY(Table2[[#This Row],[Shipped_Date]])</f>
        <v>2</v>
      </c>
      <c r="AF13" s="42" t="str">
        <f>IF(Table2[[#This Row],[Weekday]]&gt;5,"Weekend","Weekday")</f>
        <v>Weekday</v>
      </c>
    </row>
    <row r="14" spans="2:32">
      <c r="B14" s="9">
        <v>1380</v>
      </c>
      <c r="C14" s="11">
        <v>42001</v>
      </c>
      <c r="D14" s="10">
        <v>28</v>
      </c>
      <c r="E14" s="15" t="s">
        <v>90</v>
      </c>
      <c r="F14" s="15" t="s">
        <v>91</v>
      </c>
      <c r="G14" s="15" t="s">
        <v>92</v>
      </c>
      <c r="H14" s="15" t="s">
        <v>93</v>
      </c>
      <c r="I14" s="10">
        <v>99999</v>
      </c>
      <c r="J14" s="15" t="s">
        <v>30</v>
      </c>
      <c r="K14" s="15" t="s">
        <v>94</v>
      </c>
      <c r="L14" s="15" t="s">
        <v>95</v>
      </c>
      <c r="M14" s="11">
        <v>42003</v>
      </c>
      <c r="N14" s="15" t="s">
        <v>62</v>
      </c>
      <c r="O14" s="15" t="s">
        <v>96</v>
      </c>
      <c r="P14" s="15" t="s">
        <v>91</v>
      </c>
      <c r="Q14" s="15" t="s">
        <v>92</v>
      </c>
      <c r="R14" s="15" t="s">
        <v>93</v>
      </c>
      <c r="S14" s="10">
        <v>99999</v>
      </c>
      <c r="T14" s="15" t="s">
        <v>30</v>
      </c>
      <c r="U14" s="15" t="s">
        <v>35</v>
      </c>
      <c r="V14" s="15" t="s">
        <v>55</v>
      </c>
      <c r="W14" s="15" t="s">
        <v>37</v>
      </c>
      <c r="X14" s="18">
        <v>46</v>
      </c>
      <c r="Y14" s="10">
        <v>19</v>
      </c>
      <c r="Z14" s="21">
        <v>874</v>
      </c>
      <c r="AA14" s="22">
        <v>89.147999999999996</v>
      </c>
      <c r="AB14" s="34" t="str">
        <f>TEXT(Table2[[#This Row],[Order Date]],"ddd")</f>
        <v>Sun</v>
      </c>
      <c r="AC14">
        <v>2</v>
      </c>
      <c r="AD14" s="34" t="str">
        <f>_xlfn.IFS(Table2[[#This Row],[Revenue]]&gt;=2000,"High_Spender",Table2[[#This Row],[Revenue]]&gt;=1000,"Middle_Spender",Table2[[#This Row],[Revenue]]&lt;1000,"Low_Spender")</f>
        <v>Low_Spender</v>
      </c>
      <c r="AE14" s="34">
        <f>WEEKDAY(Table2[[#This Row],[Shipped_Date]])</f>
        <v>3</v>
      </c>
      <c r="AF14" s="42" t="str">
        <f>IF(Table2[[#This Row],[Weekday]]&gt;5,"Weekend","Weekday")</f>
        <v>Weekday</v>
      </c>
    </row>
    <row r="15" spans="2:32">
      <c r="B15" s="12">
        <v>1381</v>
      </c>
      <c r="C15" s="14">
        <v>41981</v>
      </c>
      <c r="D15" s="13">
        <v>8</v>
      </c>
      <c r="E15" s="16" t="s">
        <v>56</v>
      </c>
      <c r="F15" s="16" t="s">
        <v>57</v>
      </c>
      <c r="G15" s="16" t="s">
        <v>58</v>
      </c>
      <c r="H15" s="16" t="s">
        <v>59</v>
      </c>
      <c r="I15" s="13">
        <v>99999</v>
      </c>
      <c r="J15" s="16" t="s">
        <v>30</v>
      </c>
      <c r="K15" s="16" t="s">
        <v>60</v>
      </c>
      <c r="L15" s="16" t="s">
        <v>61</v>
      </c>
      <c r="M15" s="14">
        <v>41981</v>
      </c>
      <c r="N15" s="16" t="s">
        <v>62</v>
      </c>
      <c r="O15" s="16" t="s">
        <v>63</v>
      </c>
      <c r="P15" s="16" t="s">
        <v>57</v>
      </c>
      <c r="Q15" s="16" t="s">
        <v>58</v>
      </c>
      <c r="R15" s="16" t="s">
        <v>59</v>
      </c>
      <c r="S15" s="13">
        <v>99999</v>
      </c>
      <c r="T15" s="16" t="s">
        <v>30</v>
      </c>
      <c r="U15" s="16" t="s">
        <v>35</v>
      </c>
      <c r="V15" s="16" t="s">
        <v>72</v>
      </c>
      <c r="W15" s="16" t="s">
        <v>73</v>
      </c>
      <c r="X15" s="19">
        <v>12.75</v>
      </c>
      <c r="Y15" s="13">
        <v>36</v>
      </c>
      <c r="Z15" s="23">
        <v>459</v>
      </c>
      <c r="AA15" s="24">
        <v>45.441000000000003</v>
      </c>
      <c r="AB15" s="34" t="str">
        <f>TEXT(Table2[[#This Row],[Order Date]],"ddd")</f>
        <v>Mon</v>
      </c>
      <c r="AC15">
        <v>0</v>
      </c>
      <c r="AD15" s="34" t="str">
        <f>_xlfn.IFS(Table2[[#This Row],[Revenue]]&gt;=2000,"High_Spender",Table2[[#This Row],[Revenue]]&gt;=1000,"Middle_Spender",Table2[[#This Row],[Revenue]]&lt;1000,"Low_Spender")</f>
        <v>Low_Spender</v>
      </c>
      <c r="AE15" s="34">
        <f>WEEKDAY(Table2[[#This Row],[Shipped_Date]])</f>
        <v>2</v>
      </c>
      <c r="AF15" s="42" t="str">
        <f>IF(Table2[[#This Row],[Weekday]]&gt;5,"Weekend","Weekday")</f>
        <v>Weekday</v>
      </c>
    </row>
    <row r="16" spans="2:32">
      <c r="B16" s="9">
        <v>1382</v>
      </c>
      <c r="C16" s="11">
        <v>41983</v>
      </c>
      <c r="D16" s="10">
        <v>10</v>
      </c>
      <c r="E16" s="15" t="s">
        <v>97</v>
      </c>
      <c r="F16" s="15" t="s">
        <v>98</v>
      </c>
      <c r="G16" s="15" t="s">
        <v>99</v>
      </c>
      <c r="H16" s="15" t="s">
        <v>100</v>
      </c>
      <c r="I16" s="10">
        <v>99999</v>
      </c>
      <c r="J16" s="15" t="s">
        <v>30</v>
      </c>
      <c r="K16" s="15" t="s">
        <v>101</v>
      </c>
      <c r="L16" s="15" t="s">
        <v>45</v>
      </c>
      <c r="M16" s="11">
        <v>41985</v>
      </c>
      <c r="N16" s="15" t="s">
        <v>33</v>
      </c>
      <c r="O16" s="15" t="s">
        <v>102</v>
      </c>
      <c r="P16" s="15" t="s">
        <v>98</v>
      </c>
      <c r="Q16" s="15" t="s">
        <v>99</v>
      </c>
      <c r="R16" s="15" t="s">
        <v>100</v>
      </c>
      <c r="S16" s="10">
        <v>99999</v>
      </c>
      <c r="T16" s="15" t="s">
        <v>30</v>
      </c>
      <c r="U16" s="15" t="s">
        <v>48</v>
      </c>
      <c r="V16" s="15" t="s">
        <v>103</v>
      </c>
      <c r="W16" s="15" t="s">
        <v>37</v>
      </c>
      <c r="X16" s="18">
        <v>2.99</v>
      </c>
      <c r="Y16" s="10">
        <v>93</v>
      </c>
      <c r="Z16" s="21">
        <v>278.07</v>
      </c>
      <c r="AA16" s="22">
        <v>26.416650000000001</v>
      </c>
      <c r="AB16" s="34" t="str">
        <f>TEXT(Table2[[#This Row],[Order Date]],"ddd")</f>
        <v>Wed</v>
      </c>
      <c r="AC16">
        <v>2</v>
      </c>
      <c r="AD16" s="34" t="str">
        <f>_xlfn.IFS(Table2[[#This Row],[Revenue]]&gt;=2000,"High_Spender",Table2[[#This Row],[Revenue]]&gt;=1000,"Middle_Spender",Table2[[#This Row],[Revenue]]&lt;1000,"Low_Spender")</f>
        <v>Low_Spender</v>
      </c>
      <c r="AE16" s="34">
        <f>WEEKDAY(Table2[[#This Row],[Shipped_Date]])</f>
        <v>6</v>
      </c>
      <c r="AF16" s="42" t="str">
        <f>IF(Table2[[#This Row],[Weekday]]&gt;5,"Weekend","Weekday")</f>
        <v>Weekend</v>
      </c>
    </row>
    <row r="17" spans="2:32">
      <c r="B17" s="12">
        <v>1383</v>
      </c>
      <c r="C17" s="14">
        <v>41980</v>
      </c>
      <c r="D17" s="13">
        <v>7</v>
      </c>
      <c r="E17" s="16" t="s">
        <v>104</v>
      </c>
      <c r="F17" s="16" t="s">
        <v>105</v>
      </c>
      <c r="G17" s="16" t="s">
        <v>106</v>
      </c>
      <c r="H17" s="16" t="s">
        <v>107</v>
      </c>
      <c r="I17" s="13">
        <v>99999</v>
      </c>
      <c r="J17" s="16" t="s">
        <v>30</v>
      </c>
      <c r="K17" s="16" t="s">
        <v>60</v>
      </c>
      <c r="L17" s="16" t="s">
        <v>61</v>
      </c>
      <c r="M17" s="14">
        <v>41979</v>
      </c>
      <c r="N17" s="16" t="s">
        <v>201</v>
      </c>
      <c r="O17" s="16" t="s">
        <v>108</v>
      </c>
      <c r="P17" s="16" t="s">
        <v>105</v>
      </c>
      <c r="Q17" s="16" t="s">
        <v>106</v>
      </c>
      <c r="R17" s="16" t="s">
        <v>107</v>
      </c>
      <c r="S17" s="13">
        <v>99999</v>
      </c>
      <c r="T17" s="16" t="s">
        <v>30</v>
      </c>
      <c r="U17" s="16" t="s">
        <v>48</v>
      </c>
      <c r="V17" s="16" t="s">
        <v>55</v>
      </c>
      <c r="W17" s="16" t="s">
        <v>37</v>
      </c>
      <c r="X17" s="19">
        <v>46</v>
      </c>
      <c r="Y17" s="13">
        <v>64</v>
      </c>
      <c r="Z17" s="23">
        <v>2944</v>
      </c>
      <c r="AA17" s="24">
        <v>279.68</v>
      </c>
      <c r="AB17" s="34" t="str">
        <f>TEXT(Table2[[#This Row],[Order Date]],"ddd")</f>
        <v>Sun</v>
      </c>
      <c r="AC17">
        <v>1</v>
      </c>
      <c r="AD17" s="34" t="str">
        <f>_xlfn.IFS(Table2[[#This Row],[Revenue]]&gt;=2000,"High_Spender",Table2[[#This Row],[Revenue]]&gt;=1000,"Middle_Spender",Table2[[#This Row],[Revenue]]&lt;1000,"Low_Spender")</f>
        <v>High_Spender</v>
      </c>
      <c r="AE17" s="34">
        <f>WEEKDAY(Table2[[#This Row],[Shipped_Date]])</f>
        <v>7</v>
      </c>
      <c r="AF17" s="42" t="str">
        <f>IF(Table2[[#This Row],[Weekday]]&gt;5,"Weekend","Weekday")</f>
        <v>Weekend</v>
      </c>
    </row>
    <row r="18" spans="2:32">
      <c r="B18" s="9">
        <v>1384</v>
      </c>
      <c r="C18" s="11">
        <v>41983</v>
      </c>
      <c r="D18" s="10">
        <v>10</v>
      </c>
      <c r="E18" s="15" t="s">
        <v>97</v>
      </c>
      <c r="F18" s="15" t="s">
        <v>98</v>
      </c>
      <c r="G18" s="15" t="s">
        <v>99</v>
      </c>
      <c r="H18" s="15" t="s">
        <v>100</v>
      </c>
      <c r="I18" s="10">
        <v>99999</v>
      </c>
      <c r="J18" s="15" t="s">
        <v>30</v>
      </c>
      <c r="K18" s="15" t="s">
        <v>101</v>
      </c>
      <c r="L18" s="15" t="s">
        <v>45</v>
      </c>
      <c r="M18" s="11">
        <v>41985</v>
      </c>
      <c r="N18" s="15" t="s">
        <v>46</v>
      </c>
      <c r="O18" s="15" t="s">
        <v>102</v>
      </c>
      <c r="P18" s="15" t="s">
        <v>98</v>
      </c>
      <c r="Q18" s="15" t="s">
        <v>99</v>
      </c>
      <c r="R18" s="15" t="s">
        <v>100</v>
      </c>
      <c r="S18" s="10">
        <v>99999</v>
      </c>
      <c r="T18" s="15" t="s">
        <v>30</v>
      </c>
      <c r="U18" s="15" t="s">
        <v>48</v>
      </c>
      <c r="V18" s="15" t="s">
        <v>109</v>
      </c>
      <c r="W18" s="15" t="s">
        <v>110</v>
      </c>
      <c r="X18" s="18">
        <v>25</v>
      </c>
      <c r="Y18" s="10">
        <v>84</v>
      </c>
      <c r="Z18" s="21">
        <v>2100</v>
      </c>
      <c r="AA18" s="22">
        <v>220.5</v>
      </c>
      <c r="AB18" s="34" t="str">
        <f>TEXT(Table2[[#This Row],[Order Date]],"ddd")</f>
        <v>Wed</v>
      </c>
      <c r="AC18">
        <v>2</v>
      </c>
      <c r="AD18" s="34" t="str">
        <f>_xlfn.IFS(Table2[[#This Row],[Revenue]]&gt;=2000,"High_Spender",Table2[[#This Row],[Revenue]]&gt;=1000,"Middle_Spender",Table2[[#This Row],[Revenue]]&lt;1000,"Low_Spender")</f>
        <v>High_Spender</v>
      </c>
      <c r="AE18" s="34">
        <f>WEEKDAY(Table2[[#This Row],[Shipped_Date]])</f>
        <v>6</v>
      </c>
      <c r="AF18" s="42" t="str">
        <f>IF(Table2[[#This Row],[Weekday]]&gt;5,"Weekend","Weekday")</f>
        <v>Weekend</v>
      </c>
    </row>
    <row r="19" spans="2:32">
      <c r="B19" s="12">
        <v>1385</v>
      </c>
      <c r="C19" s="14">
        <v>41983</v>
      </c>
      <c r="D19" s="13">
        <v>10</v>
      </c>
      <c r="E19" s="16" t="s">
        <v>97</v>
      </c>
      <c r="F19" s="16" t="s">
        <v>98</v>
      </c>
      <c r="G19" s="16" t="s">
        <v>99</v>
      </c>
      <c r="H19" s="16" t="s">
        <v>100</v>
      </c>
      <c r="I19" s="13">
        <v>99999</v>
      </c>
      <c r="J19" s="16" t="s">
        <v>30</v>
      </c>
      <c r="K19" s="16" t="s">
        <v>101</v>
      </c>
      <c r="L19" s="16" t="s">
        <v>45</v>
      </c>
      <c r="M19" s="14">
        <v>41985</v>
      </c>
      <c r="N19" s="16" t="s">
        <v>46</v>
      </c>
      <c r="O19" s="16" t="s">
        <v>102</v>
      </c>
      <c r="P19" s="16" t="s">
        <v>98</v>
      </c>
      <c r="Q19" s="16" t="s">
        <v>99</v>
      </c>
      <c r="R19" s="16" t="s">
        <v>100</v>
      </c>
      <c r="S19" s="13">
        <v>99999</v>
      </c>
      <c r="T19" s="16" t="s">
        <v>30</v>
      </c>
      <c r="U19" s="16" t="s">
        <v>48</v>
      </c>
      <c r="V19" s="16" t="s">
        <v>111</v>
      </c>
      <c r="W19" s="16" t="s">
        <v>112</v>
      </c>
      <c r="X19" s="19">
        <v>22</v>
      </c>
      <c r="Y19" s="13">
        <v>72</v>
      </c>
      <c r="Z19" s="23">
        <v>1584</v>
      </c>
      <c r="AA19" s="24">
        <v>150.47999999999999</v>
      </c>
      <c r="AB19" s="34" t="str">
        <f>TEXT(Table2[[#This Row],[Order Date]],"ddd")</f>
        <v>Wed</v>
      </c>
      <c r="AC19">
        <v>2</v>
      </c>
      <c r="AD19" s="34" t="str">
        <f>_xlfn.IFS(Table2[[#This Row],[Revenue]]&gt;=2000,"High_Spender",Table2[[#This Row],[Revenue]]&gt;=1000,"Middle_Spender",Table2[[#This Row],[Revenue]]&lt;1000,"Low_Spender")</f>
        <v>Middle_Spender</v>
      </c>
      <c r="AE19" s="34">
        <f>WEEKDAY(Table2[[#This Row],[Shipped_Date]])</f>
        <v>6</v>
      </c>
      <c r="AF19" s="42" t="str">
        <f>IF(Table2[[#This Row],[Weekday]]&gt;5,"Weekend","Weekday")</f>
        <v>Weekend</v>
      </c>
    </row>
    <row r="20" spans="2:32">
      <c r="B20" s="9">
        <v>1386</v>
      </c>
      <c r="C20" s="11">
        <v>41983</v>
      </c>
      <c r="D20" s="10">
        <v>10</v>
      </c>
      <c r="E20" s="15" t="s">
        <v>97</v>
      </c>
      <c r="F20" s="15" t="s">
        <v>98</v>
      </c>
      <c r="G20" s="15" t="s">
        <v>99</v>
      </c>
      <c r="H20" s="15" t="s">
        <v>100</v>
      </c>
      <c r="I20" s="10">
        <v>99999</v>
      </c>
      <c r="J20" s="15" t="s">
        <v>30</v>
      </c>
      <c r="K20" s="15" t="s">
        <v>101</v>
      </c>
      <c r="L20" s="15" t="s">
        <v>45</v>
      </c>
      <c r="M20" s="11">
        <v>41985</v>
      </c>
      <c r="N20" s="15" t="s">
        <v>46</v>
      </c>
      <c r="O20" s="15" t="s">
        <v>102</v>
      </c>
      <c r="P20" s="15" t="s">
        <v>98</v>
      </c>
      <c r="Q20" s="15" t="s">
        <v>99</v>
      </c>
      <c r="R20" s="15" t="s">
        <v>100</v>
      </c>
      <c r="S20" s="10">
        <v>99999</v>
      </c>
      <c r="T20" s="15" t="s">
        <v>30</v>
      </c>
      <c r="U20" s="15" t="s">
        <v>48</v>
      </c>
      <c r="V20" s="15" t="s">
        <v>64</v>
      </c>
      <c r="W20" s="15" t="s">
        <v>65</v>
      </c>
      <c r="X20" s="18">
        <v>9.1999999999999993</v>
      </c>
      <c r="Y20" s="10">
        <v>60</v>
      </c>
      <c r="Z20" s="21">
        <v>552</v>
      </c>
      <c r="AA20" s="22">
        <v>56.856000000000002</v>
      </c>
      <c r="AB20" s="34" t="str">
        <f>TEXT(Table2[[#This Row],[Order Date]],"ddd")</f>
        <v>Wed</v>
      </c>
      <c r="AC20">
        <v>2</v>
      </c>
      <c r="AD20" s="34" t="str">
        <f>_xlfn.IFS(Table2[[#This Row],[Revenue]]&gt;=2000,"High_Spender",Table2[[#This Row],[Revenue]]&gt;=1000,"Middle_Spender",Table2[[#This Row],[Revenue]]&lt;1000,"Low_Spender")</f>
        <v>Low_Spender</v>
      </c>
      <c r="AE20" s="34">
        <f>WEEKDAY(Table2[[#This Row],[Shipped_Date]])</f>
        <v>6</v>
      </c>
      <c r="AF20" s="42" t="str">
        <f>IF(Table2[[#This Row],[Weekday]]&gt;5,"Weekend","Weekday")</f>
        <v>Weekend</v>
      </c>
    </row>
    <row r="21" spans="2:32">
      <c r="B21" s="12">
        <v>1387</v>
      </c>
      <c r="C21" s="14">
        <v>41984</v>
      </c>
      <c r="D21" s="13">
        <v>11</v>
      </c>
      <c r="E21" s="16" t="s">
        <v>113</v>
      </c>
      <c r="F21" s="16" t="s">
        <v>114</v>
      </c>
      <c r="G21" s="16" t="s">
        <v>115</v>
      </c>
      <c r="H21" s="16" t="s">
        <v>116</v>
      </c>
      <c r="I21" s="13">
        <v>99999</v>
      </c>
      <c r="J21" s="16" t="s">
        <v>30</v>
      </c>
      <c r="K21" s="16" t="s">
        <v>94</v>
      </c>
      <c r="L21" s="16" t="s">
        <v>95</v>
      </c>
      <c r="M21" s="14">
        <v>41979</v>
      </c>
      <c r="N21" s="16" t="s">
        <v>62</v>
      </c>
      <c r="O21" s="16" t="s">
        <v>117</v>
      </c>
      <c r="P21" s="16" t="s">
        <v>114</v>
      </c>
      <c r="Q21" s="16" t="s">
        <v>115</v>
      </c>
      <c r="R21" s="16" t="s">
        <v>116</v>
      </c>
      <c r="S21" s="13">
        <v>99999</v>
      </c>
      <c r="T21" s="16" t="s">
        <v>30</v>
      </c>
      <c r="U21" s="16" t="s">
        <v>48</v>
      </c>
      <c r="V21" s="16" t="s">
        <v>38</v>
      </c>
      <c r="W21" s="16" t="s">
        <v>39</v>
      </c>
      <c r="X21" s="19">
        <v>3.5</v>
      </c>
      <c r="Y21" s="13">
        <v>67</v>
      </c>
      <c r="Z21" s="23">
        <v>234.5</v>
      </c>
      <c r="AA21" s="24">
        <v>22.746500000000001</v>
      </c>
      <c r="AB21" s="34" t="str">
        <f>TEXT(Table2[[#This Row],[Order Date]],"ddd")</f>
        <v>Thu</v>
      </c>
      <c r="AC21">
        <v>5</v>
      </c>
      <c r="AD21" s="34" t="str">
        <f>_xlfn.IFS(Table2[[#This Row],[Revenue]]&gt;=2000,"High_Spender",Table2[[#This Row],[Revenue]]&gt;=1000,"Middle_Spender",Table2[[#This Row],[Revenue]]&lt;1000,"Low_Spender")</f>
        <v>Low_Spender</v>
      </c>
      <c r="AE21" s="34">
        <f>WEEKDAY(Table2[[#This Row],[Shipped_Date]])</f>
        <v>7</v>
      </c>
      <c r="AF21" s="42" t="str">
        <f>IF(Table2[[#This Row],[Weekday]]&gt;5,"Weekend","Weekday")</f>
        <v>Weekend</v>
      </c>
    </row>
    <row r="22" spans="2:32">
      <c r="B22" s="9">
        <v>1388</v>
      </c>
      <c r="C22" s="11">
        <v>41984</v>
      </c>
      <c r="D22" s="10">
        <v>11</v>
      </c>
      <c r="E22" s="15" t="s">
        <v>113</v>
      </c>
      <c r="F22" s="15" t="s">
        <v>114</v>
      </c>
      <c r="G22" s="15" t="s">
        <v>115</v>
      </c>
      <c r="H22" s="15" t="s">
        <v>116</v>
      </c>
      <c r="I22" s="10">
        <v>99999</v>
      </c>
      <c r="J22" s="15" t="s">
        <v>30</v>
      </c>
      <c r="K22" s="15" t="s">
        <v>94</v>
      </c>
      <c r="L22" s="15" t="s">
        <v>95</v>
      </c>
      <c r="M22" s="11">
        <v>41979</v>
      </c>
      <c r="N22" s="15" t="s">
        <v>62</v>
      </c>
      <c r="O22" s="15" t="s">
        <v>117</v>
      </c>
      <c r="P22" s="15" t="s">
        <v>114</v>
      </c>
      <c r="Q22" s="15" t="s">
        <v>115</v>
      </c>
      <c r="R22" s="15" t="s">
        <v>116</v>
      </c>
      <c r="S22" s="10">
        <v>99999</v>
      </c>
      <c r="T22" s="15" t="s">
        <v>30</v>
      </c>
      <c r="U22" s="15" t="s">
        <v>48</v>
      </c>
      <c r="V22" s="15" t="s">
        <v>103</v>
      </c>
      <c r="W22" s="15" t="s">
        <v>37</v>
      </c>
      <c r="X22" s="18">
        <v>2.99</v>
      </c>
      <c r="Y22" s="10">
        <v>48</v>
      </c>
      <c r="Z22" s="21">
        <v>143.52000000000001</v>
      </c>
      <c r="AA22" s="22">
        <v>13.634399999999999</v>
      </c>
      <c r="AB22" s="34" t="str">
        <f>TEXT(Table2[[#This Row],[Order Date]],"ddd")</f>
        <v>Thu</v>
      </c>
      <c r="AC22">
        <v>5</v>
      </c>
      <c r="AD22" s="34" t="str">
        <f>_xlfn.IFS(Table2[[#This Row],[Revenue]]&gt;=2000,"High_Spender",Table2[[#This Row],[Revenue]]&gt;=1000,"Middle_Spender",Table2[[#This Row],[Revenue]]&lt;1000,"Low_Spender")</f>
        <v>Low_Spender</v>
      </c>
      <c r="AE22" s="34">
        <f>WEEKDAY(Table2[[#This Row],[Shipped_Date]])</f>
        <v>7</v>
      </c>
      <c r="AF22" s="42" t="str">
        <f>IF(Table2[[#This Row],[Weekday]]&gt;5,"Weekend","Weekday")</f>
        <v>Weekend</v>
      </c>
    </row>
    <row r="23" spans="2:32">
      <c r="B23" s="12">
        <v>1389</v>
      </c>
      <c r="C23" s="14">
        <v>41974</v>
      </c>
      <c r="D23" s="13">
        <v>1</v>
      </c>
      <c r="E23" s="16" t="s">
        <v>118</v>
      </c>
      <c r="F23" s="16" t="s">
        <v>119</v>
      </c>
      <c r="G23" s="16" t="s">
        <v>120</v>
      </c>
      <c r="H23" s="16" t="s">
        <v>121</v>
      </c>
      <c r="I23" s="13">
        <v>99999</v>
      </c>
      <c r="J23" s="16" t="s">
        <v>30</v>
      </c>
      <c r="K23" s="16" t="s">
        <v>60</v>
      </c>
      <c r="L23" s="16" t="s">
        <v>61</v>
      </c>
      <c r="M23" s="14">
        <v>41979</v>
      </c>
      <c r="N23" s="16" t="s">
        <v>201</v>
      </c>
      <c r="O23" s="16" t="s">
        <v>122</v>
      </c>
      <c r="P23" s="16" t="s">
        <v>119</v>
      </c>
      <c r="Q23" s="16" t="s">
        <v>120</v>
      </c>
      <c r="R23" s="16" t="s">
        <v>121</v>
      </c>
      <c r="S23" s="13">
        <v>99999</v>
      </c>
      <c r="T23" s="16" t="s">
        <v>30</v>
      </c>
      <c r="U23" s="16" t="s">
        <v>48</v>
      </c>
      <c r="V23" s="16" t="s">
        <v>54</v>
      </c>
      <c r="W23" s="16" t="s">
        <v>37</v>
      </c>
      <c r="X23" s="19">
        <v>18</v>
      </c>
      <c r="Y23" s="13">
        <v>64</v>
      </c>
      <c r="Z23" s="23">
        <v>1152</v>
      </c>
      <c r="AA23" s="24">
        <v>118.65600000000001</v>
      </c>
      <c r="AB23" s="34" t="str">
        <f>TEXT(Table2[[#This Row],[Order Date]],"ddd")</f>
        <v>Mon</v>
      </c>
      <c r="AC23">
        <v>5</v>
      </c>
      <c r="AD23" s="34" t="str">
        <f>_xlfn.IFS(Table2[[#This Row],[Revenue]]&gt;=2000,"High_Spender",Table2[[#This Row],[Revenue]]&gt;=1000,"Middle_Spender",Table2[[#This Row],[Revenue]]&lt;1000,"Low_Spender")</f>
        <v>Middle_Spender</v>
      </c>
      <c r="AE23" s="34">
        <f>WEEKDAY(Table2[[#This Row],[Shipped_Date]])</f>
        <v>7</v>
      </c>
      <c r="AF23" s="42" t="str">
        <f>IF(Table2[[#This Row],[Weekday]]&gt;5,"Weekend","Weekday")</f>
        <v>Weekend</v>
      </c>
    </row>
    <row r="24" spans="2:32">
      <c r="B24" s="9">
        <v>1390</v>
      </c>
      <c r="C24" s="11">
        <v>41974</v>
      </c>
      <c r="D24" s="10">
        <v>1</v>
      </c>
      <c r="E24" s="15" t="s">
        <v>118</v>
      </c>
      <c r="F24" s="15" t="s">
        <v>119</v>
      </c>
      <c r="G24" s="15" t="s">
        <v>120</v>
      </c>
      <c r="H24" s="15" t="s">
        <v>121</v>
      </c>
      <c r="I24" s="10">
        <v>99999</v>
      </c>
      <c r="J24" s="15" t="s">
        <v>30</v>
      </c>
      <c r="K24" s="15" t="s">
        <v>60</v>
      </c>
      <c r="L24" s="15" t="s">
        <v>61</v>
      </c>
      <c r="M24" s="11">
        <v>41979</v>
      </c>
      <c r="N24" s="15" t="s">
        <v>201</v>
      </c>
      <c r="O24" s="15" t="s">
        <v>122</v>
      </c>
      <c r="P24" s="15" t="s">
        <v>119</v>
      </c>
      <c r="Q24" s="15" t="s">
        <v>120</v>
      </c>
      <c r="R24" s="15" t="s">
        <v>121</v>
      </c>
      <c r="S24" s="10">
        <v>99999</v>
      </c>
      <c r="T24" s="15" t="s">
        <v>30</v>
      </c>
      <c r="U24" s="15" t="s">
        <v>48</v>
      </c>
      <c r="V24" s="15" t="s">
        <v>55</v>
      </c>
      <c r="W24" s="15" t="s">
        <v>37</v>
      </c>
      <c r="X24" s="18">
        <v>46</v>
      </c>
      <c r="Y24" s="10">
        <v>82</v>
      </c>
      <c r="Z24" s="21">
        <v>3772</v>
      </c>
      <c r="AA24" s="22">
        <v>392.28800000000001</v>
      </c>
      <c r="AB24" s="34" t="str">
        <f>TEXT(Table2[[#This Row],[Order Date]],"ddd")</f>
        <v>Mon</v>
      </c>
      <c r="AC24">
        <v>5</v>
      </c>
      <c r="AD24" s="34" t="str">
        <f>_xlfn.IFS(Table2[[#This Row],[Revenue]]&gt;=2000,"High_Spender",Table2[[#This Row],[Revenue]]&gt;=1000,"Middle_Spender",Table2[[#This Row],[Revenue]]&lt;1000,"Low_Spender")</f>
        <v>High_Spender</v>
      </c>
      <c r="AE24" s="34">
        <f>WEEKDAY(Table2[[#This Row],[Shipped_Date]])</f>
        <v>7</v>
      </c>
      <c r="AF24" s="42" t="str">
        <f>IF(Table2[[#This Row],[Weekday]]&gt;5,"Weekend","Weekday")</f>
        <v>Weekend</v>
      </c>
    </row>
    <row r="25" spans="2:32">
      <c r="B25" s="12">
        <v>1391</v>
      </c>
      <c r="C25" s="14">
        <v>41974</v>
      </c>
      <c r="D25" s="13">
        <v>1</v>
      </c>
      <c r="E25" s="16" t="s">
        <v>118</v>
      </c>
      <c r="F25" s="16" t="s">
        <v>119</v>
      </c>
      <c r="G25" s="16" t="s">
        <v>120</v>
      </c>
      <c r="H25" s="16" t="s">
        <v>121</v>
      </c>
      <c r="I25" s="13">
        <v>99999</v>
      </c>
      <c r="J25" s="16" t="s">
        <v>30</v>
      </c>
      <c r="K25" s="16" t="s">
        <v>60</v>
      </c>
      <c r="L25" s="16" t="s">
        <v>61</v>
      </c>
      <c r="M25" s="14">
        <v>41979</v>
      </c>
      <c r="N25" s="16" t="s">
        <v>201</v>
      </c>
      <c r="O25" s="16" t="s">
        <v>122</v>
      </c>
      <c r="P25" s="16" t="s">
        <v>119</v>
      </c>
      <c r="Q25" s="16" t="s">
        <v>120</v>
      </c>
      <c r="R25" s="16" t="s">
        <v>121</v>
      </c>
      <c r="S25" s="13">
        <v>99999</v>
      </c>
      <c r="T25" s="16" t="s">
        <v>30</v>
      </c>
      <c r="U25" s="16" t="s">
        <v>48</v>
      </c>
      <c r="V25" s="16" t="s">
        <v>103</v>
      </c>
      <c r="W25" s="16" t="s">
        <v>37</v>
      </c>
      <c r="X25" s="19">
        <v>2.99</v>
      </c>
      <c r="Y25" s="13">
        <v>17</v>
      </c>
      <c r="Z25" s="23">
        <v>50.83</v>
      </c>
      <c r="AA25" s="24">
        <v>5.1338299999999997</v>
      </c>
      <c r="AB25" s="34" t="str">
        <f>TEXT(Table2[[#This Row],[Order Date]],"ddd")</f>
        <v>Mon</v>
      </c>
      <c r="AC25">
        <v>5</v>
      </c>
      <c r="AD25" s="34" t="str">
        <f>_xlfn.IFS(Table2[[#This Row],[Revenue]]&gt;=2000,"High_Spender",Table2[[#This Row],[Revenue]]&gt;=1000,"Middle_Spender",Table2[[#This Row],[Revenue]]&lt;1000,"Low_Spender")</f>
        <v>Low_Spender</v>
      </c>
      <c r="AE25" s="34">
        <f>WEEKDAY(Table2[[#This Row],[Shipped_Date]])</f>
        <v>7</v>
      </c>
      <c r="AF25" s="42" t="str">
        <f>IF(Table2[[#This Row],[Weekday]]&gt;5,"Weekend","Weekday")</f>
        <v>Weekend</v>
      </c>
    </row>
    <row r="26" spans="2:32">
      <c r="B26" s="9">
        <v>1392</v>
      </c>
      <c r="C26" s="11">
        <v>42001</v>
      </c>
      <c r="D26" s="10">
        <v>28</v>
      </c>
      <c r="E26" s="15" t="s">
        <v>90</v>
      </c>
      <c r="F26" s="15" t="s">
        <v>91</v>
      </c>
      <c r="G26" s="15" t="s">
        <v>92</v>
      </c>
      <c r="H26" s="15" t="s">
        <v>93</v>
      </c>
      <c r="I26" s="10">
        <v>99999</v>
      </c>
      <c r="J26" s="15" t="s">
        <v>30</v>
      </c>
      <c r="K26" s="15" t="s">
        <v>94</v>
      </c>
      <c r="L26" s="15" t="s">
        <v>95</v>
      </c>
      <c r="M26" s="11">
        <v>42003</v>
      </c>
      <c r="N26" s="15" t="s">
        <v>62</v>
      </c>
      <c r="O26" s="15" t="s">
        <v>96</v>
      </c>
      <c r="P26" s="15" t="s">
        <v>91</v>
      </c>
      <c r="Q26" s="15" t="s">
        <v>92</v>
      </c>
      <c r="R26" s="15" t="s">
        <v>93</v>
      </c>
      <c r="S26" s="10">
        <v>99999</v>
      </c>
      <c r="T26" s="15" t="s">
        <v>30</v>
      </c>
      <c r="U26" s="15" t="s">
        <v>48</v>
      </c>
      <c r="V26" s="15" t="s">
        <v>80</v>
      </c>
      <c r="W26" s="15" t="s">
        <v>81</v>
      </c>
      <c r="X26" s="18">
        <v>9.65</v>
      </c>
      <c r="Y26" s="10">
        <v>38</v>
      </c>
      <c r="Z26" s="21">
        <v>366.7</v>
      </c>
      <c r="AA26" s="22">
        <v>36.67</v>
      </c>
      <c r="AB26" s="34" t="str">
        <f>TEXT(Table2[[#This Row],[Order Date]],"ddd")</f>
        <v>Sun</v>
      </c>
      <c r="AC26">
        <v>2</v>
      </c>
      <c r="AD26" s="34" t="str">
        <f>_xlfn.IFS(Table2[[#This Row],[Revenue]]&gt;=2000,"High_Spender",Table2[[#This Row],[Revenue]]&gt;=1000,"Middle_Spender",Table2[[#This Row],[Revenue]]&lt;1000,"Low_Spender")</f>
        <v>Low_Spender</v>
      </c>
      <c r="AE26" s="34">
        <f>WEEKDAY(Table2[[#This Row],[Shipped_Date]])</f>
        <v>3</v>
      </c>
      <c r="AF26" s="42" t="str">
        <f>IF(Table2[[#This Row],[Weekday]]&gt;5,"Weekend","Weekday")</f>
        <v>Weekday</v>
      </c>
    </row>
    <row r="27" spans="2:32">
      <c r="B27" s="12">
        <v>1393</v>
      </c>
      <c r="C27" s="14">
        <v>42001</v>
      </c>
      <c r="D27" s="13">
        <v>28</v>
      </c>
      <c r="E27" s="16" t="s">
        <v>90</v>
      </c>
      <c r="F27" s="16" t="s">
        <v>91</v>
      </c>
      <c r="G27" s="16" t="s">
        <v>92</v>
      </c>
      <c r="H27" s="16" t="s">
        <v>93</v>
      </c>
      <c r="I27" s="13">
        <v>99999</v>
      </c>
      <c r="J27" s="16" t="s">
        <v>30</v>
      </c>
      <c r="K27" s="16" t="s">
        <v>94</v>
      </c>
      <c r="L27" s="16" t="s">
        <v>95</v>
      </c>
      <c r="M27" s="14">
        <v>42003</v>
      </c>
      <c r="N27" s="16" t="s">
        <v>62</v>
      </c>
      <c r="O27" s="16" t="s">
        <v>96</v>
      </c>
      <c r="P27" s="16" t="s">
        <v>91</v>
      </c>
      <c r="Q27" s="16" t="s">
        <v>92</v>
      </c>
      <c r="R27" s="16" t="s">
        <v>93</v>
      </c>
      <c r="S27" s="13">
        <v>99999</v>
      </c>
      <c r="T27" s="16" t="s">
        <v>30</v>
      </c>
      <c r="U27" s="16" t="s">
        <v>48</v>
      </c>
      <c r="V27" s="16" t="s">
        <v>123</v>
      </c>
      <c r="W27" s="16" t="s">
        <v>124</v>
      </c>
      <c r="X27" s="19">
        <v>18.399999999999999</v>
      </c>
      <c r="Y27" s="13">
        <v>25</v>
      </c>
      <c r="Z27" s="23">
        <v>460</v>
      </c>
      <c r="AA27" s="24">
        <v>45.54</v>
      </c>
      <c r="AB27" s="34" t="str">
        <f>TEXT(Table2[[#This Row],[Order Date]],"ddd")</f>
        <v>Sun</v>
      </c>
      <c r="AC27">
        <v>2</v>
      </c>
      <c r="AD27" s="34" t="str">
        <f>_xlfn.IFS(Table2[[#This Row],[Revenue]]&gt;=2000,"High_Spender",Table2[[#This Row],[Revenue]]&gt;=1000,"Middle_Spender",Table2[[#This Row],[Revenue]]&lt;1000,"Low_Spender")</f>
        <v>Low_Spender</v>
      </c>
      <c r="AE27" s="34">
        <f>WEEKDAY(Table2[[#This Row],[Shipped_Date]])</f>
        <v>3</v>
      </c>
      <c r="AF27" s="42" t="str">
        <f>IF(Table2[[#This Row],[Weekday]]&gt;5,"Weekend","Weekday")</f>
        <v>Weekday</v>
      </c>
    </row>
    <row r="28" spans="2:32">
      <c r="B28" s="9">
        <v>1394</v>
      </c>
      <c r="C28" s="11">
        <v>41982</v>
      </c>
      <c r="D28" s="10">
        <v>9</v>
      </c>
      <c r="E28" s="15" t="s">
        <v>125</v>
      </c>
      <c r="F28" s="15" t="s">
        <v>126</v>
      </c>
      <c r="G28" s="15" t="s">
        <v>127</v>
      </c>
      <c r="H28" s="15" t="s">
        <v>128</v>
      </c>
      <c r="I28" s="10">
        <v>99999</v>
      </c>
      <c r="J28" s="15" t="s">
        <v>30</v>
      </c>
      <c r="K28" s="15" t="s">
        <v>129</v>
      </c>
      <c r="L28" s="15" t="s">
        <v>32</v>
      </c>
      <c r="M28" s="11">
        <v>41984</v>
      </c>
      <c r="N28" s="15" t="s">
        <v>46</v>
      </c>
      <c r="O28" s="15" t="s">
        <v>130</v>
      </c>
      <c r="P28" s="15" t="s">
        <v>126</v>
      </c>
      <c r="Q28" s="15" t="s">
        <v>127</v>
      </c>
      <c r="R28" s="15" t="s">
        <v>128</v>
      </c>
      <c r="S28" s="10">
        <v>99999</v>
      </c>
      <c r="T28" s="15" t="s">
        <v>30</v>
      </c>
      <c r="U28" s="15" t="s">
        <v>35</v>
      </c>
      <c r="V28" s="15" t="s">
        <v>131</v>
      </c>
      <c r="W28" s="15" t="s">
        <v>132</v>
      </c>
      <c r="X28" s="18">
        <v>19.5</v>
      </c>
      <c r="Y28" s="10">
        <v>85</v>
      </c>
      <c r="Z28" s="21">
        <v>1657.5</v>
      </c>
      <c r="AA28" s="22">
        <v>165.75</v>
      </c>
      <c r="AB28" s="34" t="str">
        <f>TEXT(Table2[[#This Row],[Order Date]],"ddd")</f>
        <v>Tue</v>
      </c>
      <c r="AC28">
        <v>2</v>
      </c>
      <c r="AD28" s="34" t="str">
        <f>_xlfn.IFS(Table2[[#This Row],[Revenue]]&gt;=2000,"High_Spender",Table2[[#This Row],[Revenue]]&gt;=1000,"Middle_Spender",Table2[[#This Row],[Revenue]]&lt;1000,"Low_Spender")</f>
        <v>Middle_Spender</v>
      </c>
      <c r="AE28" s="34">
        <f>WEEKDAY(Table2[[#This Row],[Shipped_Date]])</f>
        <v>5</v>
      </c>
      <c r="AF28" s="42" t="str">
        <f>IF(Table2[[#This Row],[Weekday]]&gt;5,"Weekend","Weekday")</f>
        <v>Weekday</v>
      </c>
    </row>
    <row r="29" spans="2:32">
      <c r="B29" s="12">
        <v>1395</v>
      </c>
      <c r="C29" s="14">
        <v>41982</v>
      </c>
      <c r="D29" s="13">
        <v>9</v>
      </c>
      <c r="E29" s="16" t="s">
        <v>125</v>
      </c>
      <c r="F29" s="16" t="s">
        <v>126</v>
      </c>
      <c r="G29" s="16" t="s">
        <v>127</v>
      </c>
      <c r="H29" s="16" t="s">
        <v>128</v>
      </c>
      <c r="I29" s="13">
        <v>99999</v>
      </c>
      <c r="J29" s="16" t="s">
        <v>30</v>
      </c>
      <c r="K29" s="16" t="s">
        <v>129</v>
      </c>
      <c r="L29" s="16" t="s">
        <v>32</v>
      </c>
      <c r="M29" s="14">
        <v>41984</v>
      </c>
      <c r="N29" s="16" t="s">
        <v>46</v>
      </c>
      <c r="O29" s="16" t="s">
        <v>130</v>
      </c>
      <c r="P29" s="16" t="s">
        <v>126</v>
      </c>
      <c r="Q29" s="16" t="s">
        <v>127</v>
      </c>
      <c r="R29" s="16" t="s">
        <v>128</v>
      </c>
      <c r="S29" s="13">
        <v>99999</v>
      </c>
      <c r="T29" s="16" t="s">
        <v>30</v>
      </c>
      <c r="U29" s="16" t="s">
        <v>35</v>
      </c>
      <c r="V29" s="16" t="s">
        <v>133</v>
      </c>
      <c r="W29" s="16" t="s">
        <v>134</v>
      </c>
      <c r="X29" s="19">
        <v>34.799999999999997</v>
      </c>
      <c r="Y29" s="13">
        <v>18</v>
      </c>
      <c r="Z29" s="23">
        <v>626.4</v>
      </c>
      <c r="AA29" s="24">
        <v>61.3872</v>
      </c>
      <c r="AB29" s="34" t="str">
        <f>TEXT(Table2[[#This Row],[Order Date]],"ddd")</f>
        <v>Tue</v>
      </c>
      <c r="AC29">
        <v>2</v>
      </c>
      <c r="AD29" s="34" t="str">
        <f>_xlfn.IFS(Table2[[#This Row],[Revenue]]&gt;=2000,"High_Spender",Table2[[#This Row],[Revenue]]&gt;=1000,"Middle_Spender",Table2[[#This Row],[Revenue]]&lt;1000,"Low_Spender")</f>
        <v>Low_Spender</v>
      </c>
      <c r="AE29" s="34">
        <f>WEEKDAY(Table2[[#This Row],[Shipped_Date]])</f>
        <v>5</v>
      </c>
      <c r="AF29" s="42" t="str">
        <f>IF(Table2[[#This Row],[Weekday]]&gt;5,"Weekend","Weekday")</f>
        <v>Weekday</v>
      </c>
    </row>
    <row r="30" spans="2:32">
      <c r="B30" s="9">
        <v>1396</v>
      </c>
      <c r="C30" s="11">
        <v>41979</v>
      </c>
      <c r="D30" s="10">
        <v>6</v>
      </c>
      <c r="E30" s="15" t="s">
        <v>82</v>
      </c>
      <c r="F30" s="15" t="s">
        <v>83</v>
      </c>
      <c r="G30" s="15" t="s">
        <v>84</v>
      </c>
      <c r="H30" s="15" t="s">
        <v>85</v>
      </c>
      <c r="I30" s="10">
        <v>99999</v>
      </c>
      <c r="J30" s="15" t="s">
        <v>30</v>
      </c>
      <c r="K30" s="15" t="s">
        <v>86</v>
      </c>
      <c r="L30" s="15" t="s">
        <v>61</v>
      </c>
      <c r="M30" s="11">
        <v>41981</v>
      </c>
      <c r="N30" s="15" t="s">
        <v>33</v>
      </c>
      <c r="O30" s="15" t="s">
        <v>87</v>
      </c>
      <c r="P30" s="15" t="s">
        <v>83</v>
      </c>
      <c r="Q30" s="15" t="s">
        <v>84</v>
      </c>
      <c r="R30" s="15" t="s">
        <v>85</v>
      </c>
      <c r="S30" s="10">
        <v>99999</v>
      </c>
      <c r="T30" s="15" t="s">
        <v>30</v>
      </c>
      <c r="U30" s="15" t="s">
        <v>48</v>
      </c>
      <c r="V30" s="15" t="s">
        <v>36</v>
      </c>
      <c r="W30" s="15" t="s">
        <v>37</v>
      </c>
      <c r="X30" s="18">
        <v>14</v>
      </c>
      <c r="Y30" s="10">
        <v>85</v>
      </c>
      <c r="Z30" s="21">
        <v>1190</v>
      </c>
      <c r="AA30" s="22">
        <v>115.43</v>
      </c>
      <c r="AB30" s="34" t="str">
        <f>TEXT(Table2[[#This Row],[Order Date]],"ddd")</f>
        <v>Sat</v>
      </c>
      <c r="AC30">
        <v>2</v>
      </c>
      <c r="AD30" s="34" t="str">
        <f>_xlfn.IFS(Table2[[#This Row],[Revenue]]&gt;=2000,"High_Spender",Table2[[#This Row],[Revenue]]&gt;=1000,"Middle_Spender",Table2[[#This Row],[Revenue]]&lt;1000,"Low_Spender")</f>
        <v>Middle_Spender</v>
      </c>
      <c r="AE30" s="34">
        <f>WEEKDAY(Table2[[#This Row],[Shipped_Date]])</f>
        <v>2</v>
      </c>
      <c r="AF30" s="42" t="str">
        <f>IF(Table2[[#This Row],[Weekday]]&gt;5,"Weekend","Weekday")</f>
        <v>Weekday</v>
      </c>
    </row>
    <row r="31" spans="2:32">
      <c r="B31" s="12">
        <v>1397</v>
      </c>
      <c r="C31" s="14">
        <v>41981</v>
      </c>
      <c r="D31" s="13">
        <v>8</v>
      </c>
      <c r="E31" s="16" t="s">
        <v>56</v>
      </c>
      <c r="F31" s="16" t="s">
        <v>57</v>
      </c>
      <c r="G31" s="16" t="s">
        <v>58</v>
      </c>
      <c r="H31" s="16" t="s">
        <v>59</v>
      </c>
      <c r="I31" s="13">
        <v>99999</v>
      </c>
      <c r="J31" s="16" t="s">
        <v>30</v>
      </c>
      <c r="K31" s="16" t="s">
        <v>60</v>
      </c>
      <c r="L31" s="16" t="s">
        <v>61</v>
      </c>
      <c r="M31" s="14">
        <v>41983</v>
      </c>
      <c r="N31" s="16" t="s">
        <v>33</v>
      </c>
      <c r="O31" s="16" t="s">
        <v>63</v>
      </c>
      <c r="P31" s="16" t="s">
        <v>57</v>
      </c>
      <c r="Q31" s="16" t="s">
        <v>58</v>
      </c>
      <c r="R31" s="16" t="s">
        <v>59</v>
      </c>
      <c r="S31" s="13">
        <v>99999</v>
      </c>
      <c r="T31" s="16" t="s">
        <v>30</v>
      </c>
      <c r="U31" s="16" t="s">
        <v>35</v>
      </c>
      <c r="V31" s="16" t="s">
        <v>88</v>
      </c>
      <c r="W31" s="16" t="s">
        <v>89</v>
      </c>
      <c r="X31" s="19">
        <v>40</v>
      </c>
      <c r="Y31" s="13">
        <v>82</v>
      </c>
      <c r="Z31" s="23">
        <v>3280</v>
      </c>
      <c r="AA31" s="24">
        <v>318.16000000000003</v>
      </c>
      <c r="AB31" s="34" t="str">
        <f>TEXT(Table2[[#This Row],[Order Date]],"ddd")</f>
        <v>Mon</v>
      </c>
      <c r="AC31">
        <v>2</v>
      </c>
      <c r="AD31" s="34" t="str">
        <f>_xlfn.IFS(Table2[[#This Row],[Revenue]]&gt;=2000,"High_Spender",Table2[[#This Row],[Revenue]]&gt;=1000,"Middle_Spender",Table2[[#This Row],[Revenue]]&lt;1000,"Low_Spender")</f>
        <v>High_Spender</v>
      </c>
      <c r="AE31" s="34">
        <f>WEEKDAY(Table2[[#This Row],[Shipped_Date]])</f>
        <v>4</v>
      </c>
      <c r="AF31" s="42" t="str">
        <f>IF(Table2[[#This Row],[Weekday]]&gt;5,"Weekend","Weekday")</f>
        <v>Weekday</v>
      </c>
    </row>
    <row r="32" spans="2:32">
      <c r="B32" s="9">
        <v>1398</v>
      </c>
      <c r="C32" s="11">
        <v>41981</v>
      </c>
      <c r="D32" s="10">
        <v>8</v>
      </c>
      <c r="E32" s="15" t="s">
        <v>56</v>
      </c>
      <c r="F32" s="15" t="s">
        <v>57</v>
      </c>
      <c r="G32" s="15" t="s">
        <v>58</v>
      </c>
      <c r="H32" s="15" t="s">
        <v>59</v>
      </c>
      <c r="I32" s="10">
        <v>99999</v>
      </c>
      <c r="J32" s="15" t="s">
        <v>30</v>
      </c>
      <c r="K32" s="15" t="s">
        <v>60</v>
      </c>
      <c r="L32" s="15" t="s">
        <v>61</v>
      </c>
      <c r="M32" s="11">
        <v>41983</v>
      </c>
      <c r="N32" s="15" t="s">
        <v>33</v>
      </c>
      <c r="O32" s="15" t="s">
        <v>63</v>
      </c>
      <c r="P32" s="15" t="s">
        <v>57</v>
      </c>
      <c r="Q32" s="15" t="s">
        <v>58</v>
      </c>
      <c r="R32" s="15" t="s">
        <v>59</v>
      </c>
      <c r="S32" s="10">
        <v>99999</v>
      </c>
      <c r="T32" s="15" t="s">
        <v>30</v>
      </c>
      <c r="U32" s="15" t="s">
        <v>35</v>
      </c>
      <c r="V32" s="15" t="s">
        <v>64</v>
      </c>
      <c r="W32" s="15" t="s">
        <v>65</v>
      </c>
      <c r="X32" s="18">
        <v>9.1999999999999993</v>
      </c>
      <c r="Y32" s="10">
        <v>47</v>
      </c>
      <c r="Z32" s="21">
        <v>432.4</v>
      </c>
      <c r="AA32" s="22">
        <v>41.510399999999997</v>
      </c>
      <c r="AB32" s="34" t="str">
        <f>TEXT(Table2[[#This Row],[Order Date]],"ddd")</f>
        <v>Mon</v>
      </c>
      <c r="AC32">
        <v>2</v>
      </c>
      <c r="AD32" s="34" t="str">
        <f>_xlfn.IFS(Table2[[#This Row],[Revenue]]&gt;=2000,"High_Spender",Table2[[#This Row],[Revenue]]&gt;=1000,"Middle_Spender",Table2[[#This Row],[Revenue]]&lt;1000,"Low_Spender")</f>
        <v>Low_Spender</v>
      </c>
      <c r="AE32" s="34">
        <f>WEEKDAY(Table2[[#This Row],[Shipped_Date]])</f>
        <v>4</v>
      </c>
      <c r="AF32" s="42" t="str">
        <f>IF(Table2[[#This Row],[Weekday]]&gt;5,"Weekend","Weekday")</f>
        <v>Weekday</v>
      </c>
    </row>
    <row r="33" spans="2:32">
      <c r="B33" s="12">
        <v>1399</v>
      </c>
      <c r="C33" s="14">
        <v>41998</v>
      </c>
      <c r="D33" s="13">
        <v>25</v>
      </c>
      <c r="E33" s="16" t="s">
        <v>135</v>
      </c>
      <c r="F33" s="16" t="s">
        <v>136</v>
      </c>
      <c r="G33" s="16" t="s">
        <v>99</v>
      </c>
      <c r="H33" s="16" t="s">
        <v>100</v>
      </c>
      <c r="I33" s="13">
        <v>99999</v>
      </c>
      <c r="J33" s="16" t="s">
        <v>30</v>
      </c>
      <c r="K33" s="16" t="s">
        <v>101</v>
      </c>
      <c r="L33" s="16" t="s">
        <v>45</v>
      </c>
      <c r="M33" s="14">
        <v>42000</v>
      </c>
      <c r="N33" s="16" t="s">
        <v>46</v>
      </c>
      <c r="O33" s="16" t="s">
        <v>137</v>
      </c>
      <c r="P33" s="16" t="s">
        <v>136</v>
      </c>
      <c r="Q33" s="16" t="s">
        <v>99</v>
      </c>
      <c r="R33" s="16" t="s">
        <v>100</v>
      </c>
      <c r="S33" s="13">
        <v>99999</v>
      </c>
      <c r="T33" s="16" t="s">
        <v>30</v>
      </c>
      <c r="U33" s="16" t="s">
        <v>79</v>
      </c>
      <c r="V33" s="16" t="s">
        <v>138</v>
      </c>
      <c r="W33" s="16" t="s">
        <v>65</v>
      </c>
      <c r="X33" s="19">
        <v>10</v>
      </c>
      <c r="Y33" s="13">
        <v>99</v>
      </c>
      <c r="Z33" s="23">
        <v>990</v>
      </c>
      <c r="AA33" s="24">
        <v>99</v>
      </c>
      <c r="AB33" s="34" t="str">
        <f>TEXT(Table2[[#This Row],[Order Date]],"ddd")</f>
        <v>Thu</v>
      </c>
      <c r="AC33">
        <v>2</v>
      </c>
      <c r="AD33" s="34" t="str">
        <f>_xlfn.IFS(Table2[[#This Row],[Revenue]]&gt;=2000,"High_Spender",Table2[[#This Row],[Revenue]]&gt;=1000,"Middle_Spender",Table2[[#This Row],[Revenue]]&lt;1000,"Low_Spender")</f>
        <v>Low_Spender</v>
      </c>
      <c r="AE33" s="34">
        <f>WEEKDAY(Table2[[#This Row],[Shipped_Date]])</f>
        <v>7</v>
      </c>
      <c r="AF33" s="42" t="str">
        <f>IF(Table2[[#This Row],[Weekday]]&gt;5,"Weekend","Weekday")</f>
        <v>Weekend</v>
      </c>
    </row>
    <row r="34" spans="2:32">
      <c r="B34" s="9">
        <v>1400</v>
      </c>
      <c r="C34" s="11">
        <v>41999</v>
      </c>
      <c r="D34" s="10">
        <v>26</v>
      </c>
      <c r="E34" s="15" t="s">
        <v>139</v>
      </c>
      <c r="F34" s="15" t="s">
        <v>140</v>
      </c>
      <c r="G34" s="15" t="s">
        <v>115</v>
      </c>
      <c r="H34" s="15" t="s">
        <v>116</v>
      </c>
      <c r="I34" s="10">
        <v>99999</v>
      </c>
      <c r="J34" s="15" t="s">
        <v>30</v>
      </c>
      <c r="K34" s="15" t="s">
        <v>94</v>
      </c>
      <c r="L34" s="15" t="s">
        <v>95</v>
      </c>
      <c r="M34" s="11">
        <v>42001</v>
      </c>
      <c r="N34" s="15" t="s">
        <v>62</v>
      </c>
      <c r="O34" s="15" t="s">
        <v>141</v>
      </c>
      <c r="P34" s="15" t="s">
        <v>140</v>
      </c>
      <c r="Q34" s="15" t="s">
        <v>115</v>
      </c>
      <c r="R34" s="15" t="s">
        <v>116</v>
      </c>
      <c r="S34" s="10">
        <v>99999</v>
      </c>
      <c r="T34" s="15" t="s">
        <v>30</v>
      </c>
      <c r="U34" s="15" t="s">
        <v>48</v>
      </c>
      <c r="V34" s="15" t="s">
        <v>142</v>
      </c>
      <c r="W34" s="15" t="s">
        <v>143</v>
      </c>
      <c r="X34" s="18">
        <v>21.35</v>
      </c>
      <c r="Y34" s="10">
        <v>49</v>
      </c>
      <c r="Z34" s="21">
        <v>1046.1500000000001</v>
      </c>
      <c r="AA34" s="22">
        <v>106.7073</v>
      </c>
      <c r="AB34" s="34" t="str">
        <f>TEXT(Table2[[#This Row],[Order Date]],"ddd")</f>
        <v>Fri</v>
      </c>
      <c r="AC34">
        <v>2</v>
      </c>
      <c r="AD34" s="34" t="str">
        <f>_xlfn.IFS(Table2[[#This Row],[Revenue]]&gt;=2000,"High_Spender",Table2[[#This Row],[Revenue]]&gt;=1000,"Middle_Spender",Table2[[#This Row],[Revenue]]&lt;1000,"Low_Spender")</f>
        <v>Middle_Spender</v>
      </c>
      <c r="AE34" s="34">
        <f>WEEKDAY(Table2[[#This Row],[Shipped_Date]])</f>
        <v>1</v>
      </c>
      <c r="AF34" s="42" t="str">
        <f>IF(Table2[[#This Row],[Weekday]]&gt;5,"Weekend","Weekday")</f>
        <v>Weekday</v>
      </c>
    </row>
    <row r="35" spans="2:32">
      <c r="B35" s="12">
        <v>1401</v>
      </c>
      <c r="C35" s="14">
        <v>41999</v>
      </c>
      <c r="D35" s="13">
        <v>26</v>
      </c>
      <c r="E35" s="16" t="s">
        <v>139</v>
      </c>
      <c r="F35" s="16" t="s">
        <v>140</v>
      </c>
      <c r="G35" s="16" t="s">
        <v>115</v>
      </c>
      <c r="H35" s="16" t="s">
        <v>116</v>
      </c>
      <c r="I35" s="13">
        <v>99999</v>
      </c>
      <c r="J35" s="16" t="s">
        <v>30</v>
      </c>
      <c r="K35" s="16" t="s">
        <v>94</v>
      </c>
      <c r="L35" s="16" t="s">
        <v>95</v>
      </c>
      <c r="M35" s="14">
        <v>42001</v>
      </c>
      <c r="N35" s="16" t="s">
        <v>62</v>
      </c>
      <c r="O35" s="16" t="s">
        <v>141</v>
      </c>
      <c r="P35" s="16" t="s">
        <v>140</v>
      </c>
      <c r="Q35" s="16" t="s">
        <v>115</v>
      </c>
      <c r="R35" s="16" t="s">
        <v>116</v>
      </c>
      <c r="S35" s="13">
        <v>99999</v>
      </c>
      <c r="T35" s="16" t="s">
        <v>30</v>
      </c>
      <c r="U35" s="16" t="s">
        <v>48</v>
      </c>
      <c r="V35" s="16" t="s">
        <v>80</v>
      </c>
      <c r="W35" s="16" t="s">
        <v>81</v>
      </c>
      <c r="X35" s="19">
        <v>9.65</v>
      </c>
      <c r="Y35" s="13">
        <v>72</v>
      </c>
      <c r="Z35" s="23">
        <v>694.8</v>
      </c>
      <c r="AA35" s="24">
        <v>72.953999999999994</v>
      </c>
      <c r="AB35" s="34" t="str">
        <f>TEXT(Table2[[#This Row],[Order Date]],"ddd")</f>
        <v>Fri</v>
      </c>
      <c r="AC35">
        <v>2</v>
      </c>
      <c r="AD35" s="34" t="str">
        <f>_xlfn.IFS(Table2[[#This Row],[Revenue]]&gt;=2000,"High_Spender",Table2[[#This Row],[Revenue]]&gt;=1000,"Middle_Spender",Table2[[#This Row],[Revenue]]&lt;1000,"Low_Spender")</f>
        <v>Low_Spender</v>
      </c>
      <c r="AE35" s="34">
        <f>WEEKDAY(Table2[[#This Row],[Shipped_Date]])</f>
        <v>1</v>
      </c>
      <c r="AF35" s="42" t="str">
        <f>IF(Table2[[#This Row],[Weekday]]&gt;5,"Weekend","Weekday")</f>
        <v>Weekday</v>
      </c>
    </row>
    <row r="36" spans="2:32">
      <c r="B36" s="9">
        <v>1402</v>
      </c>
      <c r="C36" s="11">
        <v>41999</v>
      </c>
      <c r="D36" s="10">
        <v>26</v>
      </c>
      <c r="E36" s="15" t="s">
        <v>139</v>
      </c>
      <c r="F36" s="15" t="s">
        <v>140</v>
      </c>
      <c r="G36" s="15" t="s">
        <v>115</v>
      </c>
      <c r="H36" s="15" t="s">
        <v>116</v>
      </c>
      <c r="I36" s="10">
        <v>99999</v>
      </c>
      <c r="J36" s="15" t="s">
        <v>30</v>
      </c>
      <c r="K36" s="15" t="s">
        <v>94</v>
      </c>
      <c r="L36" s="15" t="s">
        <v>95</v>
      </c>
      <c r="M36" s="11">
        <v>42001</v>
      </c>
      <c r="N36" s="15" t="s">
        <v>62</v>
      </c>
      <c r="O36" s="15" t="s">
        <v>141</v>
      </c>
      <c r="P36" s="15" t="s">
        <v>140</v>
      </c>
      <c r="Q36" s="15" t="s">
        <v>115</v>
      </c>
      <c r="R36" s="15" t="s">
        <v>116</v>
      </c>
      <c r="S36" s="10">
        <v>99999</v>
      </c>
      <c r="T36" s="15" t="s">
        <v>30</v>
      </c>
      <c r="U36" s="15" t="s">
        <v>48</v>
      </c>
      <c r="V36" s="15" t="s">
        <v>123</v>
      </c>
      <c r="W36" s="15" t="s">
        <v>124</v>
      </c>
      <c r="X36" s="18">
        <v>18.399999999999999</v>
      </c>
      <c r="Y36" s="10">
        <v>99</v>
      </c>
      <c r="Z36" s="21">
        <v>1821.6</v>
      </c>
      <c r="AA36" s="22">
        <v>191.268</v>
      </c>
      <c r="AB36" s="34" t="str">
        <f>TEXT(Table2[[#This Row],[Order Date]],"ddd")</f>
        <v>Fri</v>
      </c>
      <c r="AC36">
        <v>2</v>
      </c>
      <c r="AD36" s="34" t="str">
        <f>_xlfn.IFS(Table2[[#This Row],[Revenue]]&gt;=2000,"High_Spender",Table2[[#This Row],[Revenue]]&gt;=1000,"Middle_Spender",Table2[[#This Row],[Revenue]]&lt;1000,"Low_Spender")</f>
        <v>Middle_Spender</v>
      </c>
      <c r="AE36" s="34">
        <f>WEEKDAY(Table2[[#This Row],[Shipped_Date]])</f>
        <v>1</v>
      </c>
      <c r="AF36" s="42" t="str">
        <f>IF(Table2[[#This Row],[Weekday]]&gt;5,"Weekend","Weekday")</f>
        <v>Weekday</v>
      </c>
    </row>
    <row r="37" spans="2:32">
      <c r="B37" s="12">
        <v>1403</v>
      </c>
      <c r="C37" s="14">
        <v>42002</v>
      </c>
      <c r="D37" s="13">
        <v>29</v>
      </c>
      <c r="E37" s="16" t="s">
        <v>66</v>
      </c>
      <c r="F37" s="16" t="s">
        <v>67</v>
      </c>
      <c r="G37" s="16" t="s">
        <v>68</v>
      </c>
      <c r="H37" s="16" t="s">
        <v>69</v>
      </c>
      <c r="I37" s="13">
        <v>99999</v>
      </c>
      <c r="J37" s="16" t="s">
        <v>30</v>
      </c>
      <c r="K37" s="16" t="s">
        <v>70</v>
      </c>
      <c r="L37" s="16" t="s">
        <v>32</v>
      </c>
      <c r="M37" s="14">
        <v>42004</v>
      </c>
      <c r="N37" s="16" t="s">
        <v>33</v>
      </c>
      <c r="O37" s="16" t="s">
        <v>71</v>
      </c>
      <c r="P37" s="16" t="s">
        <v>67</v>
      </c>
      <c r="Q37" s="16" t="s">
        <v>68</v>
      </c>
      <c r="R37" s="16" t="s">
        <v>69</v>
      </c>
      <c r="S37" s="13">
        <v>99999</v>
      </c>
      <c r="T37" s="16" t="s">
        <v>30</v>
      </c>
      <c r="U37" s="16" t="s">
        <v>35</v>
      </c>
      <c r="V37" s="16" t="s">
        <v>36</v>
      </c>
      <c r="W37" s="16" t="s">
        <v>37</v>
      </c>
      <c r="X37" s="19">
        <v>14</v>
      </c>
      <c r="Y37" s="13">
        <v>10</v>
      </c>
      <c r="Z37" s="23">
        <v>140</v>
      </c>
      <c r="AA37" s="24">
        <v>13.86</v>
      </c>
      <c r="AB37" s="34" t="str">
        <f>TEXT(Table2[[#This Row],[Order Date]],"ddd")</f>
        <v>Mon</v>
      </c>
      <c r="AC37">
        <v>2</v>
      </c>
      <c r="AD37" s="34" t="str">
        <f>_xlfn.IFS(Table2[[#This Row],[Revenue]]&gt;=2000,"High_Spender",Table2[[#This Row],[Revenue]]&gt;=1000,"Middle_Spender",Table2[[#This Row],[Revenue]]&lt;1000,"Low_Spender")</f>
        <v>Low_Spender</v>
      </c>
      <c r="AE37" s="34">
        <f>WEEKDAY(Table2[[#This Row],[Shipped_Date]])</f>
        <v>4</v>
      </c>
      <c r="AF37" s="42" t="str">
        <f>IF(Table2[[#This Row],[Weekday]]&gt;5,"Weekend","Weekday")</f>
        <v>Weekday</v>
      </c>
    </row>
    <row r="38" spans="2:32">
      <c r="B38" s="9">
        <v>1404</v>
      </c>
      <c r="C38" s="11">
        <v>41979</v>
      </c>
      <c r="D38" s="10">
        <v>6</v>
      </c>
      <c r="E38" s="15" t="s">
        <v>82</v>
      </c>
      <c r="F38" s="15" t="s">
        <v>83</v>
      </c>
      <c r="G38" s="15" t="s">
        <v>84</v>
      </c>
      <c r="H38" s="15" t="s">
        <v>85</v>
      </c>
      <c r="I38" s="10">
        <v>99999</v>
      </c>
      <c r="J38" s="15" t="s">
        <v>30</v>
      </c>
      <c r="K38" s="15" t="s">
        <v>86</v>
      </c>
      <c r="L38" s="15" t="s">
        <v>61</v>
      </c>
      <c r="M38" s="11">
        <v>41981</v>
      </c>
      <c r="N38" s="15" t="s">
        <v>62</v>
      </c>
      <c r="O38" s="15" t="s">
        <v>87</v>
      </c>
      <c r="P38" s="15" t="s">
        <v>83</v>
      </c>
      <c r="Q38" s="15" t="s">
        <v>84</v>
      </c>
      <c r="R38" s="15" t="s">
        <v>85</v>
      </c>
      <c r="S38" s="10">
        <v>99999</v>
      </c>
      <c r="T38" s="15" t="s">
        <v>30</v>
      </c>
      <c r="U38" s="15" t="s">
        <v>35</v>
      </c>
      <c r="V38" s="15" t="s">
        <v>72</v>
      </c>
      <c r="W38" s="15" t="s">
        <v>73</v>
      </c>
      <c r="X38" s="18">
        <v>12.75</v>
      </c>
      <c r="Y38" s="10">
        <v>100</v>
      </c>
      <c r="Z38" s="21">
        <v>1275</v>
      </c>
      <c r="AA38" s="22">
        <v>122.4</v>
      </c>
      <c r="AB38" s="34" t="str">
        <f>TEXT(Table2[[#This Row],[Order Date]],"ddd")</f>
        <v>Sat</v>
      </c>
      <c r="AC38">
        <v>2</v>
      </c>
      <c r="AD38" s="34" t="str">
        <f>_xlfn.IFS(Table2[[#This Row],[Revenue]]&gt;=2000,"High_Spender",Table2[[#This Row],[Revenue]]&gt;=1000,"Middle_Spender",Table2[[#This Row],[Revenue]]&lt;1000,"Low_Spender")</f>
        <v>Middle_Spender</v>
      </c>
      <c r="AE38" s="34">
        <f>WEEKDAY(Table2[[#This Row],[Shipped_Date]])</f>
        <v>2</v>
      </c>
      <c r="AF38" s="42" t="str">
        <f>IF(Table2[[#This Row],[Weekday]]&gt;5,"Weekend","Weekday")</f>
        <v>Weekday</v>
      </c>
    </row>
    <row r="39" spans="2:32">
      <c r="B39" s="12">
        <v>1405</v>
      </c>
      <c r="C39" s="14">
        <v>42000</v>
      </c>
      <c r="D39" s="13">
        <v>27</v>
      </c>
      <c r="E39" s="16" t="s">
        <v>26</v>
      </c>
      <c r="F39" s="16" t="s">
        <v>27</v>
      </c>
      <c r="G39" s="16" t="s">
        <v>28</v>
      </c>
      <c r="H39" s="16" t="s">
        <v>29</v>
      </c>
      <c r="I39" s="13">
        <v>99999</v>
      </c>
      <c r="J39" s="16" t="s">
        <v>30</v>
      </c>
      <c r="K39" s="16" t="s">
        <v>31</v>
      </c>
      <c r="L39" s="16" t="s">
        <v>32</v>
      </c>
      <c r="M39" s="14">
        <v>42002</v>
      </c>
      <c r="N39" s="16" t="s">
        <v>33</v>
      </c>
      <c r="O39" s="16" t="s">
        <v>34</v>
      </c>
      <c r="P39" s="16" t="s">
        <v>27</v>
      </c>
      <c r="Q39" s="16" t="s">
        <v>28</v>
      </c>
      <c r="R39" s="16" t="s">
        <v>29</v>
      </c>
      <c r="S39" s="13">
        <v>99999</v>
      </c>
      <c r="T39" s="16" t="s">
        <v>30</v>
      </c>
      <c r="U39" s="16" t="s">
        <v>35</v>
      </c>
      <c r="V39" s="16" t="s">
        <v>49</v>
      </c>
      <c r="W39" s="16" t="s">
        <v>39</v>
      </c>
      <c r="X39" s="19">
        <v>30</v>
      </c>
      <c r="Y39" s="13">
        <v>83</v>
      </c>
      <c r="Z39" s="23">
        <v>0</v>
      </c>
      <c r="AA39" s="24">
        <v>27</v>
      </c>
      <c r="AB39" s="34" t="str">
        <f>TEXT(Table2[[#This Row],[Order Date]],"ddd")</f>
        <v>Sat</v>
      </c>
      <c r="AC39">
        <v>2</v>
      </c>
      <c r="AD39" s="34" t="str">
        <f>_xlfn.IFS(Table2[[#This Row],[Revenue]]&gt;=2000,"High_Spender",Table2[[#This Row],[Revenue]]&gt;=1000,"Middle_Spender",Table2[[#This Row],[Revenue]]&lt;1000,"Low_Spender")</f>
        <v>Low_Spender</v>
      </c>
      <c r="AE39" s="34">
        <f>WEEKDAY(Table2[[#This Row],[Shipped_Date]])</f>
        <v>2</v>
      </c>
      <c r="AF39" s="42" t="str">
        <f>IF(Table2[[#This Row],[Weekday]]&gt;5,"Weekend","Weekday")</f>
        <v>Weekday</v>
      </c>
    </row>
    <row r="40" spans="2:32">
      <c r="B40" s="9">
        <v>1406</v>
      </c>
      <c r="C40" s="11">
        <v>41977</v>
      </c>
      <c r="D40" s="10">
        <v>4</v>
      </c>
      <c r="E40" s="15" t="s">
        <v>40</v>
      </c>
      <c r="F40" s="15" t="s">
        <v>41</v>
      </c>
      <c r="G40" s="15" t="s">
        <v>42</v>
      </c>
      <c r="H40" s="15" t="s">
        <v>43</v>
      </c>
      <c r="I40" s="10">
        <v>99999</v>
      </c>
      <c r="J40" s="15" t="s">
        <v>30</v>
      </c>
      <c r="K40" s="15" t="s">
        <v>44</v>
      </c>
      <c r="L40" s="15" t="s">
        <v>45</v>
      </c>
      <c r="M40" s="11">
        <v>41979</v>
      </c>
      <c r="N40" s="15" t="s">
        <v>46</v>
      </c>
      <c r="O40" s="15" t="s">
        <v>47</v>
      </c>
      <c r="P40" s="15" t="s">
        <v>41</v>
      </c>
      <c r="Q40" s="15" t="s">
        <v>42</v>
      </c>
      <c r="R40" s="15" t="s">
        <v>43</v>
      </c>
      <c r="S40" s="10">
        <v>99999</v>
      </c>
      <c r="T40" s="15" t="s">
        <v>30</v>
      </c>
      <c r="U40" s="15" t="s">
        <v>48</v>
      </c>
      <c r="V40" s="15" t="s">
        <v>144</v>
      </c>
      <c r="W40" s="15" t="s">
        <v>110</v>
      </c>
      <c r="X40" s="18">
        <v>81</v>
      </c>
      <c r="Y40" s="10">
        <v>62</v>
      </c>
      <c r="Z40" s="21">
        <v>1377</v>
      </c>
      <c r="AA40" s="22">
        <v>117.93600000000001</v>
      </c>
      <c r="AB40" s="34" t="str">
        <f>TEXT(Table2[[#This Row],[Order Date]],"ddd")</f>
        <v>Thu</v>
      </c>
      <c r="AC40">
        <v>2</v>
      </c>
      <c r="AD40" s="34" t="str">
        <f>_xlfn.IFS(Table2[[#This Row],[Revenue]]&gt;=2000,"High_Spender",Table2[[#This Row],[Revenue]]&gt;=1000,"Middle_Spender",Table2[[#This Row],[Revenue]]&lt;1000,"Low_Spender")</f>
        <v>Middle_Spender</v>
      </c>
      <c r="AE40" s="34">
        <f>WEEKDAY(Table2[[#This Row],[Shipped_Date]])</f>
        <v>7</v>
      </c>
      <c r="AF40" s="42" t="str">
        <f>IF(Table2[[#This Row],[Weekday]]&gt;5,"Weekend","Weekday")</f>
        <v>Weekend</v>
      </c>
    </row>
    <row r="41" spans="2:32">
      <c r="B41" s="12">
        <v>1407</v>
      </c>
      <c r="C41" s="14">
        <v>41977</v>
      </c>
      <c r="D41" s="13">
        <v>4</v>
      </c>
      <c r="E41" s="16" t="s">
        <v>40</v>
      </c>
      <c r="F41" s="16" t="s">
        <v>41</v>
      </c>
      <c r="G41" s="16" t="s">
        <v>42</v>
      </c>
      <c r="H41" s="16" t="s">
        <v>43</v>
      </c>
      <c r="I41" s="13">
        <v>99999</v>
      </c>
      <c r="J41" s="16" t="s">
        <v>30</v>
      </c>
      <c r="K41" s="16" t="s">
        <v>44</v>
      </c>
      <c r="L41" s="16" t="s">
        <v>45</v>
      </c>
      <c r="M41" s="14">
        <v>41979</v>
      </c>
      <c r="N41" s="16" t="s">
        <v>46</v>
      </c>
      <c r="O41" s="16" t="s">
        <v>47</v>
      </c>
      <c r="P41" s="16" t="s">
        <v>41</v>
      </c>
      <c r="Q41" s="16" t="s">
        <v>42</v>
      </c>
      <c r="R41" s="16" t="s">
        <v>43</v>
      </c>
      <c r="S41" s="13">
        <v>99999</v>
      </c>
      <c r="T41" s="16" t="s">
        <v>30</v>
      </c>
      <c r="U41" s="16" t="s">
        <v>48</v>
      </c>
      <c r="V41" s="16" t="s">
        <v>145</v>
      </c>
      <c r="W41" s="16" t="s">
        <v>146</v>
      </c>
      <c r="X41" s="19">
        <v>7</v>
      </c>
      <c r="Y41" s="13">
        <v>91</v>
      </c>
      <c r="Z41" s="23">
        <v>196</v>
      </c>
      <c r="AA41" s="24">
        <v>13.72</v>
      </c>
      <c r="AB41" s="34" t="str">
        <f>TEXT(Table2[[#This Row],[Order Date]],"ddd")</f>
        <v>Thu</v>
      </c>
      <c r="AC41">
        <v>2</v>
      </c>
      <c r="AD41" s="34" t="str">
        <f>_xlfn.IFS(Table2[[#This Row],[Revenue]]&gt;=2000,"High_Spender",Table2[[#This Row],[Revenue]]&gt;=1000,"Middle_Spender",Table2[[#This Row],[Revenue]]&lt;1000,"Low_Spender")</f>
        <v>Low_Spender</v>
      </c>
      <c r="AE41" s="34">
        <f>WEEKDAY(Table2[[#This Row],[Shipped_Date]])</f>
        <v>7</v>
      </c>
      <c r="AF41" s="42" t="str">
        <f>IF(Table2[[#This Row],[Weekday]]&gt;5,"Weekend","Weekday")</f>
        <v>Weekend</v>
      </c>
    </row>
    <row r="42" spans="2:32">
      <c r="B42" s="9">
        <v>1408</v>
      </c>
      <c r="C42" s="11">
        <v>41985</v>
      </c>
      <c r="D42" s="10">
        <v>12</v>
      </c>
      <c r="E42" s="15" t="s">
        <v>51</v>
      </c>
      <c r="F42" s="15" t="s">
        <v>52</v>
      </c>
      <c r="G42" s="15" t="s">
        <v>28</v>
      </c>
      <c r="H42" s="15" t="s">
        <v>29</v>
      </c>
      <c r="I42" s="10">
        <v>99999</v>
      </c>
      <c r="J42" s="15" t="s">
        <v>30</v>
      </c>
      <c r="K42" s="15" t="s">
        <v>31</v>
      </c>
      <c r="L42" s="15" t="s">
        <v>32</v>
      </c>
      <c r="M42" s="11">
        <v>41987</v>
      </c>
      <c r="N42" s="15" t="s">
        <v>33</v>
      </c>
      <c r="O42" s="15" t="s">
        <v>53</v>
      </c>
      <c r="P42" s="15" t="s">
        <v>52</v>
      </c>
      <c r="Q42" s="15" t="s">
        <v>28</v>
      </c>
      <c r="R42" s="15" t="s">
        <v>29</v>
      </c>
      <c r="S42" s="10">
        <v>99999</v>
      </c>
      <c r="T42" s="15" t="s">
        <v>30</v>
      </c>
      <c r="U42" s="15" t="s">
        <v>48</v>
      </c>
      <c r="V42" s="15" t="s">
        <v>49</v>
      </c>
      <c r="W42" s="15" t="s">
        <v>39</v>
      </c>
      <c r="X42" s="18">
        <v>30</v>
      </c>
      <c r="Y42" s="10">
        <v>83</v>
      </c>
      <c r="Z42" s="21">
        <v>0</v>
      </c>
      <c r="AA42" s="22">
        <v>8</v>
      </c>
      <c r="AB42" s="34" t="str">
        <f>TEXT(Table2[[#This Row],[Order Date]],"ddd")</f>
        <v>Fri</v>
      </c>
      <c r="AC42">
        <v>2</v>
      </c>
      <c r="AD42" s="34" t="str">
        <f>_xlfn.IFS(Table2[[#This Row],[Revenue]]&gt;=2000,"High_Spender",Table2[[#This Row],[Revenue]]&gt;=1000,"Middle_Spender",Table2[[#This Row],[Revenue]]&lt;1000,"Low_Spender")</f>
        <v>Low_Spender</v>
      </c>
      <c r="AE42" s="34">
        <f>WEEKDAY(Table2[[#This Row],[Shipped_Date]])</f>
        <v>1</v>
      </c>
      <c r="AF42" s="42" t="str">
        <f>IF(Table2[[#This Row],[Weekday]]&gt;5,"Weekend","Weekday")</f>
        <v>Weekday</v>
      </c>
    </row>
    <row r="43" spans="2:32">
      <c r="B43" s="12">
        <v>1409</v>
      </c>
      <c r="C43" s="14">
        <v>41981</v>
      </c>
      <c r="D43" s="13">
        <v>8</v>
      </c>
      <c r="E43" s="16" t="s">
        <v>56</v>
      </c>
      <c r="F43" s="16" t="s">
        <v>57</v>
      </c>
      <c r="G43" s="16" t="s">
        <v>58</v>
      </c>
      <c r="H43" s="16" t="s">
        <v>59</v>
      </c>
      <c r="I43" s="13">
        <v>99999</v>
      </c>
      <c r="J43" s="16" t="s">
        <v>30</v>
      </c>
      <c r="K43" s="16" t="s">
        <v>60</v>
      </c>
      <c r="L43" s="16" t="s">
        <v>61</v>
      </c>
      <c r="M43" s="14">
        <v>41983</v>
      </c>
      <c r="N43" s="16" t="s">
        <v>62</v>
      </c>
      <c r="O43" s="16" t="s">
        <v>63</v>
      </c>
      <c r="P43" s="16" t="s">
        <v>57</v>
      </c>
      <c r="Q43" s="16" t="s">
        <v>58</v>
      </c>
      <c r="R43" s="16" t="s">
        <v>59</v>
      </c>
      <c r="S43" s="13">
        <v>99999</v>
      </c>
      <c r="T43" s="16" t="s">
        <v>30</v>
      </c>
      <c r="U43" s="16" t="s">
        <v>48</v>
      </c>
      <c r="V43" s="16" t="s">
        <v>133</v>
      </c>
      <c r="W43" s="16" t="s">
        <v>134</v>
      </c>
      <c r="X43" s="19">
        <v>34.799999999999997</v>
      </c>
      <c r="Y43" s="13">
        <v>29</v>
      </c>
      <c r="Z43" s="23">
        <v>2923.2</v>
      </c>
      <c r="AA43" s="24">
        <v>300.846</v>
      </c>
      <c r="AB43" s="34" t="str">
        <f>TEXT(Table2[[#This Row],[Order Date]],"ddd")</f>
        <v>Mon</v>
      </c>
      <c r="AC43">
        <v>2</v>
      </c>
      <c r="AD43" s="34" t="str">
        <f>_xlfn.IFS(Table2[[#This Row],[Revenue]]&gt;=2000,"High_Spender",Table2[[#This Row],[Revenue]]&gt;=1000,"Middle_Spender",Table2[[#This Row],[Revenue]]&lt;1000,"Low_Spender")</f>
        <v>High_Spender</v>
      </c>
      <c r="AE43" s="34">
        <f>WEEKDAY(Table2[[#This Row],[Shipped_Date]])</f>
        <v>4</v>
      </c>
      <c r="AF43" s="42" t="str">
        <f>IF(Table2[[#This Row],[Weekday]]&gt;5,"Weekend","Weekday")</f>
        <v>Weekday</v>
      </c>
    </row>
    <row r="44" spans="2:32">
      <c r="B44" s="9">
        <v>1410</v>
      </c>
      <c r="C44" s="11">
        <v>41977</v>
      </c>
      <c r="D44" s="10">
        <v>4</v>
      </c>
      <c r="E44" s="15" t="s">
        <v>40</v>
      </c>
      <c r="F44" s="15" t="s">
        <v>41</v>
      </c>
      <c r="G44" s="15" t="s">
        <v>42</v>
      </c>
      <c r="H44" s="15" t="s">
        <v>43</v>
      </c>
      <c r="I44" s="10">
        <v>99999</v>
      </c>
      <c r="J44" s="15" t="s">
        <v>30</v>
      </c>
      <c r="K44" s="15" t="s">
        <v>44</v>
      </c>
      <c r="L44" s="15" t="s">
        <v>45</v>
      </c>
      <c r="M44" s="11">
        <v>41979</v>
      </c>
      <c r="N44" s="15" t="s">
        <v>62</v>
      </c>
      <c r="O44" s="15" t="s">
        <v>47</v>
      </c>
      <c r="P44" s="15" t="s">
        <v>41</v>
      </c>
      <c r="Q44" s="15" t="s">
        <v>42</v>
      </c>
      <c r="R44" s="15" t="s">
        <v>43</v>
      </c>
      <c r="S44" s="10">
        <v>99999</v>
      </c>
      <c r="T44" s="15" t="s">
        <v>30</v>
      </c>
      <c r="U44" s="15" t="s">
        <v>35</v>
      </c>
      <c r="V44" s="15" t="s">
        <v>49</v>
      </c>
      <c r="W44" s="15" t="s">
        <v>39</v>
      </c>
      <c r="X44" s="18">
        <v>30</v>
      </c>
      <c r="Y44" s="10">
        <v>83</v>
      </c>
      <c r="Z44" s="21">
        <v>0</v>
      </c>
      <c r="AA44" s="22">
        <v>9</v>
      </c>
      <c r="AB44" s="34" t="str">
        <f>TEXT(Table2[[#This Row],[Order Date]],"ddd")</f>
        <v>Thu</v>
      </c>
      <c r="AC44">
        <v>2</v>
      </c>
      <c r="AD44" s="34" t="str">
        <f>_xlfn.IFS(Table2[[#This Row],[Revenue]]&gt;=2000,"High_Spender",Table2[[#This Row],[Revenue]]&gt;=1000,"Middle_Spender",Table2[[#This Row],[Revenue]]&lt;1000,"Low_Spender")</f>
        <v>Low_Spender</v>
      </c>
      <c r="AE44" s="34">
        <f>WEEKDAY(Table2[[#This Row],[Shipped_Date]])</f>
        <v>7</v>
      </c>
      <c r="AF44" s="42" t="str">
        <f>IF(Table2[[#This Row],[Weekday]]&gt;5,"Weekend","Weekday")</f>
        <v>Weekend</v>
      </c>
    </row>
    <row r="45" spans="2:32">
      <c r="B45" s="12">
        <v>1411</v>
      </c>
      <c r="C45" s="14">
        <v>42002</v>
      </c>
      <c r="D45" s="13">
        <v>29</v>
      </c>
      <c r="E45" s="16" t="s">
        <v>66</v>
      </c>
      <c r="F45" s="16" t="s">
        <v>67</v>
      </c>
      <c r="G45" s="16" t="s">
        <v>68</v>
      </c>
      <c r="H45" s="16" t="s">
        <v>69</v>
      </c>
      <c r="I45" s="13">
        <v>99999</v>
      </c>
      <c r="J45" s="16" t="s">
        <v>30</v>
      </c>
      <c r="K45" s="16" t="s">
        <v>70</v>
      </c>
      <c r="L45" s="16" t="s">
        <v>32</v>
      </c>
      <c r="M45" s="14">
        <v>42004</v>
      </c>
      <c r="N45" s="16" t="s">
        <v>33</v>
      </c>
      <c r="O45" s="16" t="s">
        <v>71</v>
      </c>
      <c r="P45" s="16" t="s">
        <v>67</v>
      </c>
      <c r="Q45" s="16" t="s">
        <v>68</v>
      </c>
      <c r="R45" s="16" t="s">
        <v>69</v>
      </c>
      <c r="S45" s="13">
        <v>99999</v>
      </c>
      <c r="T45" s="16" t="s">
        <v>30</v>
      </c>
      <c r="U45" s="16" t="s">
        <v>35</v>
      </c>
      <c r="V45" s="16" t="s">
        <v>49</v>
      </c>
      <c r="W45" s="16" t="s">
        <v>39</v>
      </c>
      <c r="X45" s="19">
        <v>30</v>
      </c>
      <c r="Y45" s="13">
        <v>83</v>
      </c>
      <c r="Z45" s="23">
        <v>0</v>
      </c>
      <c r="AA45" s="24">
        <v>23</v>
      </c>
      <c r="AB45" s="34" t="str">
        <f>TEXT(Table2[[#This Row],[Order Date]],"ddd")</f>
        <v>Mon</v>
      </c>
      <c r="AC45">
        <v>2</v>
      </c>
      <c r="AD45" s="34" t="str">
        <f>_xlfn.IFS(Table2[[#This Row],[Revenue]]&gt;=2000,"High_Spender",Table2[[#This Row],[Revenue]]&gt;=1000,"Middle_Spender",Table2[[#This Row],[Revenue]]&lt;1000,"Low_Spender")</f>
        <v>Low_Spender</v>
      </c>
      <c r="AE45" s="34">
        <f>WEEKDAY(Table2[[#This Row],[Shipped_Date]])</f>
        <v>4</v>
      </c>
      <c r="AF45" s="42" t="str">
        <f>IF(Table2[[#This Row],[Weekday]]&gt;5,"Weekend","Weekday")</f>
        <v>Weekday</v>
      </c>
    </row>
    <row r="46" spans="2:32">
      <c r="B46" s="9">
        <v>1412</v>
      </c>
      <c r="C46" s="11">
        <v>41976</v>
      </c>
      <c r="D46" s="10">
        <v>3</v>
      </c>
      <c r="E46" s="15" t="s">
        <v>74</v>
      </c>
      <c r="F46" s="15" t="s">
        <v>75</v>
      </c>
      <c r="G46" s="15" t="s">
        <v>76</v>
      </c>
      <c r="H46" s="15" t="s">
        <v>77</v>
      </c>
      <c r="I46" s="10">
        <v>99999</v>
      </c>
      <c r="J46" s="15" t="s">
        <v>30</v>
      </c>
      <c r="K46" s="15" t="s">
        <v>31</v>
      </c>
      <c r="L46" s="15" t="s">
        <v>32</v>
      </c>
      <c r="M46" s="11">
        <v>41978</v>
      </c>
      <c r="N46" s="15" t="s">
        <v>33</v>
      </c>
      <c r="O46" s="15" t="s">
        <v>78</v>
      </c>
      <c r="P46" s="15" t="s">
        <v>75</v>
      </c>
      <c r="Q46" s="15" t="s">
        <v>76</v>
      </c>
      <c r="R46" s="15" t="s">
        <v>77</v>
      </c>
      <c r="S46" s="10">
        <v>99999</v>
      </c>
      <c r="T46" s="15" t="s">
        <v>30</v>
      </c>
      <c r="U46" s="15" t="s">
        <v>79</v>
      </c>
      <c r="V46" s="15" t="s">
        <v>147</v>
      </c>
      <c r="W46" s="15" t="s">
        <v>112</v>
      </c>
      <c r="X46" s="18">
        <v>10</v>
      </c>
      <c r="Y46" s="10">
        <v>49</v>
      </c>
      <c r="Z46" s="21">
        <v>280</v>
      </c>
      <c r="AA46" s="22">
        <v>90.25</v>
      </c>
      <c r="AB46" s="34" t="str">
        <f>TEXT(Table2[[#This Row],[Order Date]],"ddd")</f>
        <v>Wed</v>
      </c>
      <c r="AC46">
        <v>2</v>
      </c>
      <c r="AD46" s="34" t="str">
        <f>_xlfn.IFS(Table2[[#This Row],[Revenue]]&gt;=2000,"High_Spender",Table2[[#This Row],[Revenue]]&gt;=1000,"Middle_Spender",Table2[[#This Row],[Revenue]]&lt;1000,"Low_Spender")</f>
        <v>Low_Spender</v>
      </c>
      <c r="AE46" s="34">
        <f>WEEKDAY(Table2[[#This Row],[Shipped_Date]])</f>
        <v>6</v>
      </c>
      <c r="AF46" s="42" t="str">
        <f>IF(Table2[[#This Row],[Weekday]]&gt;5,"Weekend","Weekday")</f>
        <v>Weekend</v>
      </c>
    </row>
    <row r="47" spans="2:32">
      <c r="B47" s="12">
        <v>1413</v>
      </c>
      <c r="C47" s="14">
        <v>41976</v>
      </c>
      <c r="D47" s="13">
        <v>3</v>
      </c>
      <c r="E47" s="16" t="s">
        <v>74</v>
      </c>
      <c r="F47" s="16" t="s">
        <v>75</v>
      </c>
      <c r="G47" s="16" t="s">
        <v>76</v>
      </c>
      <c r="H47" s="16" t="s">
        <v>77</v>
      </c>
      <c r="I47" s="13">
        <v>99999</v>
      </c>
      <c r="J47" s="16" t="s">
        <v>30</v>
      </c>
      <c r="K47" s="16" t="s">
        <v>31</v>
      </c>
      <c r="L47" s="16" t="s">
        <v>32</v>
      </c>
      <c r="M47" s="14">
        <v>41978</v>
      </c>
      <c r="N47" s="16" t="s">
        <v>33</v>
      </c>
      <c r="O47" s="16" t="s">
        <v>78</v>
      </c>
      <c r="P47" s="16" t="s">
        <v>75</v>
      </c>
      <c r="Q47" s="16" t="s">
        <v>76</v>
      </c>
      <c r="R47" s="16" t="s">
        <v>77</v>
      </c>
      <c r="S47" s="13">
        <v>99999</v>
      </c>
      <c r="T47" s="16" t="s">
        <v>30</v>
      </c>
      <c r="U47" s="16" t="s">
        <v>79</v>
      </c>
      <c r="V47" s="16" t="s">
        <v>88</v>
      </c>
      <c r="W47" s="16" t="s">
        <v>89</v>
      </c>
      <c r="X47" s="19">
        <v>40</v>
      </c>
      <c r="Y47" s="13">
        <v>29</v>
      </c>
      <c r="Z47" s="23">
        <v>480</v>
      </c>
      <c r="AA47" s="24">
        <v>239.12</v>
      </c>
      <c r="AB47" s="34" t="str">
        <f>TEXT(Table2[[#This Row],[Order Date]],"ddd")</f>
        <v>Wed</v>
      </c>
      <c r="AC47">
        <v>2</v>
      </c>
      <c r="AD47" s="34" t="str">
        <f>_xlfn.IFS(Table2[[#This Row],[Revenue]]&gt;=2000,"High_Spender",Table2[[#This Row],[Revenue]]&gt;=1000,"Middle_Spender",Table2[[#This Row],[Revenue]]&lt;1000,"Low_Spender")</f>
        <v>Low_Spender</v>
      </c>
      <c r="AE47" s="34">
        <f>WEEKDAY(Table2[[#This Row],[Shipped_Date]])</f>
        <v>6</v>
      </c>
      <c r="AF47" s="42" t="str">
        <f>IF(Table2[[#This Row],[Weekday]]&gt;5,"Weekend","Weekday")</f>
        <v>Weekend</v>
      </c>
    </row>
    <row r="48" spans="2:32">
      <c r="B48" s="9">
        <v>1414</v>
      </c>
      <c r="C48" s="11">
        <v>41979</v>
      </c>
      <c r="D48" s="10">
        <v>6</v>
      </c>
      <c r="E48" s="15" t="s">
        <v>82</v>
      </c>
      <c r="F48" s="15" t="s">
        <v>83</v>
      </c>
      <c r="G48" s="15" t="s">
        <v>84</v>
      </c>
      <c r="H48" s="15" t="s">
        <v>85</v>
      </c>
      <c r="I48" s="10">
        <v>99999</v>
      </c>
      <c r="J48" s="15" t="s">
        <v>30</v>
      </c>
      <c r="K48" s="15" t="s">
        <v>86</v>
      </c>
      <c r="L48" s="15" t="s">
        <v>61</v>
      </c>
      <c r="M48" s="11">
        <v>41981</v>
      </c>
      <c r="N48" s="15" t="s">
        <v>33</v>
      </c>
      <c r="O48" s="15" t="s">
        <v>87</v>
      </c>
      <c r="P48" s="15" t="s">
        <v>83</v>
      </c>
      <c r="Q48" s="15" t="s">
        <v>84</v>
      </c>
      <c r="R48" s="15" t="s">
        <v>85</v>
      </c>
      <c r="S48" s="10">
        <v>99999</v>
      </c>
      <c r="T48" s="15" t="s">
        <v>30</v>
      </c>
      <c r="U48" s="15" t="s">
        <v>48</v>
      </c>
      <c r="V48" s="15" t="s">
        <v>49</v>
      </c>
      <c r="W48" s="15" t="s">
        <v>39</v>
      </c>
      <c r="X48" s="18">
        <v>30</v>
      </c>
      <c r="Y48" s="10">
        <v>83</v>
      </c>
      <c r="Z48" s="21">
        <v>0</v>
      </c>
      <c r="AA48" s="22">
        <v>31</v>
      </c>
      <c r="AB48" s="34" t="str">
        <f>TEXT(Table2[[#This Row],[Order Date]],"ddd")</f>
        <v>Sat</v>
      </c>
      <c r="AC48">
        <v>2</v>
      </c>
      <c r="AD48" s="34" t="str">
        <f>_xlfn.IFS(Table2[[#This Row],[Revenue]]&gt;=2000,"High_Spender",Table2[[#This Row],[Revenue]]&gt;=1000,"Middle_Spender",Table2[[#This Row],[Revenue]]&lt;1000,"Low_Spender")</f>
        <v>Low_Spender</v>
      </c>
      <c r="AE48" s="34">
        <f>WEEKDAY(Table2[[#This Row],[Shipped_Date]])</f>
        <v>2</v>
      </c>
      <c r="AF48" s="42" t="str">
        <f>IF(Table2[[#This Row],[Weekday]]&gt;5,"Weekend","Weekday")</f>
        <v>Weekday</v>
      </c>
    </row>
    <row r="49" spans="2:32">
      <c r="B49" s="12">
        <v>1415</v>
      </c>
      <c r="C49" s="14">
        <v>42001</v>
      </c>
      <c r="D49" s="13">
        <v>28</v>
      </c>
      <c r="E49" s="16" t="s">
        <v>90</v>
      </c>
      <c r="F49" s="16" t="s">
        <v>91</v>
      </c>
      <c r="G49" s="16" t="s">
        <v>92</v>
      </c>
      <c r="H49" s="16" t="s">
        <v>93</v>
      </c>
      <c r="I49" s="13">
        <v>99999</v>
      </c>
      <c r="J49" s="16" t="s">
        <v>30</v>
      </c>
      <c r="K49" s="16" t="s">
        <v>94</v>
      </c>
      <c r="L49" s="16" t="s">
        <v>95</v>
      </c>
      <c r="M49" s="14">
        <v>42003</v>
      </c>
      <c r="N49" s="16" t="s">
        <v>62</v>
      </c>
      <c r="O49" s="16" t="s">
        <v>96</v>
      </c>
      <c r="P49" s="16" t="s">
        <v>91</v>
      </c>
      <c r="Q49" s="16" t="s">
        <v>92</v>
      </c>
      <c r="R49" s="16" t="s">
        <v>93</v>
      </c>
      <c r="S49" s="13">
        <v>99999</v>
      </c>
      <c r="T49" s="16" t="s">
        <v>30</v>
      </c>
      <c r="U49" s="16" t="s">
        <v>35</v>
      </c>
      <c r="V49" s="16" t="s">
        <v>49</v>
      </c>
      <c r="W49" s="16" t="s">
        <v>39</v>
      </c>
      <c r="X49" s="19">
        <v>30</v>
      </c>
      <c r="Y49" s="13">
        <v>83</v>
      </c>
      <c r="Z49" s="23">
        <v>0</v>
      </c>
      <c r="AA49" s="24">
        <v>20</v>
      </c>
      <c r="AB49" s="34" t="str">
        <f>TEXT(Table2[[#This Row],[Order Date]],"ddd")</f>
        <v>Sun</v>
      </c>
      <c r="AC49">
        <v>2</v>
      </c>
      <c r="AD49" s="34" t="str">
        <f>_xlfn.IFS(Table2[[#This Row],[Revenue]]&gt;=2000,"High_Spender",Table2[[#This Row],[Revenue]]&gt;=1000,"Middle_Spender",Table2[[#This Row],[Revenue]]&lt;1000,"Low_Spender")</f>
        <v>Low_Spender</v>
      </c>
      <c r="AE49" s="34">
        <f>WEEKDAY(Table2[[#This Row],[Shipped_Date]])</f>
        <v>3</v>
      </c>
      <c r="AF49" s="42" t="str">
        <f>IF(Table2[[#This Row],[Weekday]]&gt;5,"Weekend","Weekday")</f>
        <v>Weekday</v>
      </c>
    </row>
    <row r="50" spans="2:32">
      <c r="B50" s="9">
        <v>1416</v>
      </c>
      <c r="C50" s="11">
        <v>41981</v>
      </c>
      <c r="D50" s="10">
        <v>8</v>
      </c>
      <c r="E50" s="15" t="s">
        <v>56</v>
      </c>
      <c r="F50" s="15" t="s">
        <v>57</v>
      </c>
      <c r="G50" s="15" t="s">
        <v>58</v>
      </c>
      <c r="H50" s="15" t="s">
        <v>59</v>
      </c>
      <c r="I50" s="10">
        <v>99999</v>
      </c>
      <c r="J50" s="15" t="s">
        <v>30</v>
      </c>
      <c r="K50" s="15" t="s">
        <v>60</v>
      </c>
      <c r="L50" s="15" t="s">
        <v>61</v>
      </c>
      <c r="M50" s="11">
        <v>41983</v>
      </c>
      <c r="N50" s="15" t="s">
        <v>62</v>
      </c>
      <c r="O50" s="15" t="s">
        <v>63</v>
      </c>
      <c r="P50" s="15" t="s">
        <v>57</v>
      </c>
      <c r="Q50" s="15" t="s">
        <v>58</v>
      </c>
      <c r="R50" s="15" t="s">
        <v>59</v>
      </c>
      <c r="S50" s="10">
        <v>99999</v>
      </c>
      <c r="T50" s="15" t="s">
        <v>30</v>
      </c>
      <c r="U50" s="15" t="s">
        <v>35</v>
      </c>
      <c r="V50" s="15" t="s">
        <v>49</v>
      </c>
      <c r="W50" s="15" t="s">
        <v>39</v>
      </c>
      <c r="X50" s="18">
        <v>30</v>
      </c>
      <c r="Y50" s="10">
        <v>83</v>
      </c>
      <c r="Z50" s="21">
        <v>0</v>
      </c>
      <c r="AA50" s="22">
        <v>34</v>
      </c>
      <c r="AB50" s="34" t="str">
        <f>TEXT(Table2[[#This Row],[Order Date]],"ddd")</f>
        <v>Mon</v>
      </c>
      <c r="AC50">
        <v>2</v>
      </c>
      <c r="AD50" s="34" t="str">
        <f>_xlfn.IFS(Table2[[#This Row],[Revenue]]&gt;=2000,"High_Spender",Table2[[#This Row],[Revenue]]&gt;=1000,"Middle_Spender",Table2[[#This Row],[Revenue]]&lt;1000,"Low_Spender")</f>
        <v>Low_Spender</v>
      </c>
      <c r="AE50" s="34">
        <f>WEEKDAY(Table2[[#This Row],[Shipped_Date]])</f>
        <v>4</v>
      </c>
      <c r="AF50" s="42" t="str">
        <f>IF(Table2[[#This Row],[Weekday]]&gt;5,"Weekend","Weekday")</f>
        <v>Weekday</v>
      </c>
    </row>
    <row r="51" spans="2:32">
      <c r="B51" s="12">
        <v>1417</v>
      </c>
      <c r="C51" s="14">
        <v>41983</v>
      </c>
      <c r="D51" s="13">
        <v>10</v>
      </c>
      <c r="E51" s="16" t="s">
        <v>97</v>
      </c>
      <c r="F51" s="16" t="s">
        <v>98</v>
      </c>
      <c r="G51" s="16" t="s">
        <v>99</v>
      </c>
      <c r="H51" s="16" t="s">
        <v>100</v>
      </c>
      <c r="I51" s="13">
        <v>99999</v>
      </c>
      <c r="J51" s="16" t="s">
        <v>30</v>
      </c>
      <c r="K51" s="16" t="s">
        <v>101</v>
      </c>
      <c r="L51" s="16" t="s">
        <v>45</v>
      </c>
      <c r="M51" s="14">
        <v>41985</v>
      </c>
      <c r="N51" s="16" t="s">
        <v>33</v>
      </c>
      <c r="O51" s="16" t="s">
        <v>102</v>
      </c>
      <c r="P51" s="16" t="s">
        <v>98</v>
      </c>
      <c r="Q51" s="16" t="s">
        <v>99</v>
      </c>
      <c r="R51" s="16" t="s">
        <v>100</v>
      </c>
      <c r="S51" s="13">
        <v>99999</v>
      </c>
      <c r="T51" s="16" t="s">
        <v>30</v>
      </c>
      <c r="U51" s="16" t="s">
        <v>48</v>
      </c>
      <c r="V51" s="16" t="s">
        <v>148</v>
      </c>
      <c r="W51" s="16" t="s">
        <v>39</v>
      </c>
      <c r="X51" s="19">
        <v>10</v>
      </c>
      <c r="Y51" s="13">
        <v>81</v>
      </c>
      <c r="Z51" s="23">
        <v>450</v>
      </c>
      <c r="AA51" s="24">
        <v>62.83</v>
      </c>
      <c r="AB51" s="34" t="str">
        <f>TEXT(Table2[[#This Row],[Order Date]],"ddd")</f>
        <v>Wed</v>
      </c>
      <c r="AC51">
        <v>2</v>
      </c>
      <c r="AD51" s="34" t="str">
        <f>_xlfn.IFS(Table2[[#This Row],[Revenue]]&gt;=2000,"High_Spender",Table2[[#This Row],[Revenue]]&gt;=1000,"Middle_Spender",Table2[[#This Row],[Revenue]]&lt;1000,"Low_Spender")</f>
        <v>Low_Spender</v>
      </c>
      <c r="AE51" s="34">
        <f>WEEKDAY(Table2[[#This Row],[Shipped_Date]])</f>
        <v>6</v>
      </c>
      <c r="AF51" s="42" t="str">
        <f>IF(Table2[[#This Row],[Weekday]]&gt;5,"Weekend","Weekday")</f>
        <v>Weekend</v>
      </c>
    </row>
    <row r="52" spans="2:32">
      <c r="B52" s="9">
        <v>1418</v>
      </c>
      <c r="C52" s="11">
        <v>41980</v>
      </c>
      <c r="D52" s="10">
        <v>7</v>
      </c>
      <c r="E52" s="15" t="s">
        <v>104</v>
      </c>
      <c r="F52" s="15" t="s">
        <v>105</v>
      </c>
      <c r="G52" s="15" t="s">
        <v>106</v>
      </c>
      <c r="H52" s="15" t="s">
        <v>107</v>
      </c>
      <c r="I52" s="10">
        <v>99999</v>
      </c>
      <c r="J52" s="15" t="s">
        <v>30</v>
      </c>
      <c r="K52" s="15" t="s">
        <v>60</v>
      </c>
      <c r="L52" s="15" t="s">
        <v>61</v>
      </c>
      <c r="M52" s="11">
        <v>41979</v>
      </c>
      <c r="N52" s="15" t="s">
        <v>201</v>
      </c>
      <c r="O52" s="15" t="s">
        <v>108</v>
      </c>
      <c r="P52" s="15" t="s">
        <v>105</v>
      </c>
      <c r="Q52" s="15" t="s">
        <v>106</v>
      </c>
      <c r="R52" s="15" t="s">
        <v>107</v>
      </c>
      <c r="S52" s="10">
        <v>99999</v>
      </c>
      <c r="T52" s="15" t="s">
        <v>30</v>
      </c>
      <c r="U52" s="15" t="s">
        <v>48</v>
      </c>
      <c r="V52" s="15" t="s">
        <v>49</v>
      </c>
      <c r="W52" s="15" t="s">
        <v>39</v>
      </c>
      <c r="X52" s="18">
        <v>30</v>
      </c>
      <c r="Y52" s="10">
        <v>83</v>
      </c>
      <c r="Z52" s="21">
        <v>0</v>
      </c>
      <c r="AA52" s="22">
        <v>33</v>
      </c>
      <c r="AB52" s="34" t="str">
        <f>TEXT(Table2[[#This Row],[Order Date]],"ddd")</f>
        <v>Sun</v>
      </c>
      <c r="AC52">
        <v>1</v>
      </c>
      <c r="AD52" s="34" t="str">
        <f>_xlfn.IFS(Table2[[#This Row],[Revenue]]&gt;=2000,"High_Spender",Table2[[#This Row],[Revenue]]&gt;=1000,"Middle_Spender",Table2[[#This Row],[Revenue]]&lt;1000,"Low_Spender")</f>
        <v>Low_Spender</v>
      </c>
      <c r="AE52" s="34">
        <f>WEEKDAY(Table2[[#This Row],[Shipped_Date]])</f>
        <v>7</v>
      </c>
      <c r="AF52" s="42" t="str">
        <f>IF(Table2[[#This Row],[Weekday]]&gt;5,"Weekend","Weekday")</f>
        <v>Weekend</v>
      </c>
    </row>
    <row r="53" spans="2:32">
      <c r="B53" s="12">
        <v>1419</v>
      </c>
      <c r="C53" s="14">
        <v>41983</v>
      </c>
      <c r="D53" s="13">
        <v>10</v>
      </c>
      <c r="E53" s="16" t="s">
        <v>97</v>
      </c>
      <c r="F53" s="16" t="s">
        <v>98</v>
      </c>
      <c r="G53" s="16" t="s">
        <v>99</v>
      </c>
      <c r="H53" s="16" t="s">
        <v>100</v>
      </c>
      <c r="I53" s="13">
        <v>99999</v>
      </c>
      <c r="J53" s="16" t="s">
        <v>30</v>
      </c>
      <c r="K53" s="16" t="s">
        <v>101</v>
      </c>
      <c r="L53" s="16" t="s">
        <v>45</v>
      </c>
      <c r="M53" s="14">
        <v>41979</v>
      </c>
      <c r="N53" s="16" t="s">
        <v>46</v>
      </c>
      <c r="O53" s="16" t="s">
        <v>102</v>
      </c>
      <c r="P53" s="16" t="s">
        <v>98</v>
      </c>
      <c r="Q53" s="16" t="s">
        <v>99</v>
      </c>
      <c r="R53" s="16" t="s">
        <v>100</v>
      </c>
      <c r="S53" s="13">
        <v>99999</v>
      </c>
      <c r="T53" s="16" t="s">
        <v>30</v>
      </c>
      <c r="U53" s="16" t="s">
        <v>48</v>
      </c>
      <c r="V53" s="16" t="s">
        <v>38</v>
      </c>
      <c r="W53" s="16" t="s">
        <v>39</v>
      </c>
      <c r="X53" s="19">
        <v>3.5</v>
      </c>
      <c r="Y53" s="13">
        <v>96</v>
      </c>
      <c r="Z53" s="23">
        <v>301</v>
      </c>
      <c r="AA53" s="24">
        <v>21.315000000000001</v>
      </c>
      <c r="AB53" s="34" t="str">
        <f>TEXT(Table2[[#This Row],[Order Date]],"ddd")</f>
        <v>Wed</v>
      </c>
      <c r="AC53">
        <v>4</v>
      </c>
      <c r="AD53" s="34" t="str">
        <f>_xlfn.IFS(Table2[[#This Row],[Revenue]]&gt;=2000,"High_Spender",Table2[[#This Row],[Revenue]]&gt;=1000,"Middle_Spender",Table2[[#This Row],[Revenue]]&lt;1000,"Low_Spender")</f>
        <v>Low_Spender</v>
      </c>
      <c r="AE53" s="34">
        <f>WEEKDAY(Table2[[#This Row],[Shipped_Date]])</f>
        <v>7</v>
      </c>
      <c r="AF53" s="42" t="str">
        <f>IF(Table2[[#This Row],[Weekday]]&gt;5,"Weekend","Weekday")</f>
        <v>Weekend</v>
      </c>
    </row>
    <row r="54" spans="2:32">
      <c r="B54" s="9">
        <v>1420</v>
      </c>
      <c r="C54" s="11">
        <v>41984</v>
      </c>
      <c r="D54" s="10">
        <v>11</v>
      </c>
      <c r="E54" s="15" t="s">
        <v>113</v>
      </c>
      <c r="F54" s="15" t="s">
        <v>114</v>
      </c>
      <c r="G54" s="15" t="s">
        <v>115</v>
      </c>
      <c r="H54" s="15" t="s">
        <v>116</v>
      </c>
      <c r="I54" s="10">
        <v>99999</v>
      </c>
      <c r="J54" s="15" t="s">
        <v>30</v>
      </c>
      <c r="K54" s="15" t="s">
        <v>94</v>
      </c>
      <c r="L54" s="15" t="s">
        <v>95</v>
      </c>
      <c r="M54" s="11">
        <v>41979</v>
      </c>
      <c r="N54" s="15" t="s">
        <v>62</v>
      </c>
      <c r="O54" s="15" t="s">
        <v>117</v>
      </c>
      <c r="P54" s="15" t="s">
        <v>114</v>
      </c>
      <c r="Q54" s="15" t="s">
        <v>115</v>
      </c>
      <c r="R54" s="15" t="s">
        <v>116</v>
      </c>
      <c r="S54" s="10">
        <v>99999</v>
      </c>
      <c r="T54" s="15" t="s">
        <v>30</v>
      </c>
      <c r="U54" s="15" t="s">
        <v>48</v>
      </c>
      <c r="V54" s="15" t="s">
        <v>88</v>
      </c>
      <c r="W54" s="15" t="s">
        <v>89</v>
      </c>
      <c r="X54" s="18">
        <v>40</v>
      </c>
      <c r="Y54" s="10">
        <v>81</v>
      </c>
      <c r="Z54" s="21">
        <v>3080</v>
      </c>
      <c r="AA54" s="22">
        <v>378</v>
      </c>
      <c r="AB54" s="34" t="str">
        <f>TEXT(Table2[[#This Row],[Order Date]],"ddd")</f>
        <v>Thu</v>
      </c>
      <c r="AC54">
        <v>5</v>
      </c>
      <c r="AD54" s="34" t="str">
        <f>_xlfn.IFS(Table2[[#This Row],[Revenue]]&gt;=2000,"High_Spender",Table2[[#This Row],[Revenue]]&gt;=1000,"Middle_Spender",Table2[[#This Row],[Revenue]]&lt;1000,"Low_Spender")</f>
        <v>High_Spender</v>
      </c>
      <c r="AE54" s="34">
        <f>WEEKDAY(Table2[[#This Row],[Shipped_Date]])</f>
        <v>7</v>
      </c>
      <c r="AF54" s="42" t="str">
        <f>IF(Table2[[#This Row],[Weekday]]&gt;5,"Weekend","Weekday")</f>
        <v>Weekend</v>
      </c>
    </row>
    <row r="55" spans="2:32">
      <c r="B55" s="12">
        <v>1421</v>
      </c>
      <c r="C55" s="14">
        <v>41974</v>
      </c>
      <c r="D55" s="13">
        <v>1</v>
      </c>
      <c r="E55" s="16" t="s">
        <v>118</v>
      </c>
      <c r="F55" s="16" t="s">
        <v>119</v>
      </c>
      <c r="G55" s="16" t="s">
        <v>120</v>
      </c>
      <c r="H55" s="16" t="s">
        <v>121</v>
      </c>
      <c r="I55" s="13">
        <v>99999</v>
      </c>
      <c r="J55" s="16" t="s">
        <v>30</v>
      </c>
      <c r="K55" s="16" t="s">
        <v>60</v>
      </c>
      <c r="L55" s="16" t="s">
        <v>61</v>
      </c>
      <c r="M55" s="14">
        <v>41979</v>
      </c>
      <c r="N55" s="16" t="s">
        <v>62</v>
      </c>
      <c r="O55" s="16" t="s">
        <v>122</v>
      </c>
      <c r="P55" s="16" t="s">
        <v>119</v>
      </c>
      <c r="Q55" s="16" t="s">
        <v>120</v>
      </c>
      <c r="R55" s="16" t="s">
        <v>121</v>
      </c>
      <c r="S55" s="13">
        <v>99999</v>
      </c>
      <c r="T55" s="16" t="s">
        <v>30</v>
      </c>
      <c r="U55" s="16" t="s">
        <v>48</v>
      </c>
      <c r="V55" s="16" t="s">
        <v>123</v>
      </c>
      <c r="W55" s="16" t="s">
        <v>124</v>
      </c>
      <c r="X55" s="19">
        <v>18.399999999999999</v>
      </c>
      <c r="Y55" s="13">
        <v>88</v>
      </c>
      <c r="Z55" s="23">
        <v>680.8</v>
      </c>
      <c r="AA55" s="24">
        <v>148.13839999999999</v>
      </c>
      <c r="AB55" s="34" t="str">
        <f>TEXT(Table2[[#This Row],[Order Date]],"ddd")</f>
        <v>Mon</v>
      </c>
      <c r="AC55">
        <v>5</v>
      </c>
      <c r="AD55" s="34" t="str">
        <f>_xlfn.IFS(Table2[[#This Row],[Revenue]]&gt;=2000,"High_Spender",Table2[[#This Row],[Revenue]]&gt;=1000,"Middle_Spender",Table2[[#This Row],[Revenue]]&lt;1000,"Low_Spender")</f>
        <v>Low_Spender</v>
      </c>
      <c r="AE55" s="34">
        <f>WEEKDAY(Table2[[#This Row],[Shipped_Date]])</f>
        <v>7</v>
      </c>
      <c r="AF55" s="42" t="str">
        <f>IF(Table2[[#This Row],[Weekday]]&gt;5,"Weekend","Weekday")</f>
        <v>Weekend</v>
      </c>
    </row>
    <row r="56" spans="2:32">
      <c r="B56" s="9">
        <v>1422</v>
      </c>
      <c r="C56" s="11">
        <v>42001</v>
      </c>
      <c r="D56" s="10">
        <v>28</v>
      </c>
      <c r="E56" s="15" t="s">
        <v>90</v>
      </c>
      <c r="F56" s="15" t="s">
        <v>91</v>
      </c>
      <c r="G56" s="15" t="s">
        <v>92</v>
      </c>
      <c r="H56" s="15" t="s">
        <v>93</v>
      </c>
      <c r="I56" s="10">
        <v>99999</v>
      </c>
      <c r="J56" s="15" t="s">
        <v>30</v>
      </c>
      <c r="K56" s="15" t="s">
        <v>94</v>
      </c>
      <c r="L56" s="15" t="s">
        <v>95</v>
      </c>
      <c r="M56" s="11">
        <v>42003</v>
      </c>
      <c r="N56" s="15" t="s">
        <v>62</v>
      </c>
      <c r="O56" s="15" t="s">
        <v>96</v>
      </c>
      <c r="P56" s="15" t="s">
        <v>91</v>
      </c>
      <c r="Q56" s="15" t="s">
        <v>92</v>
      </c>
      <c r="R56" s="15" t="s">
        <v>93</v>
      </c>
      <c r="S56" s="10">
        <v>99999</v>
      </c>
      <c r="T56" s="15" t="s">
        <v>30</v>
      </c>
      <c r="U56" s="15" t="s">
        <v>48</v>
      </c>
      <c r="V56" s="15" t="s">
        <v>55</v>
      </c>
      <c r="W56" s="15" t="s">
        <v>37</v>
      </c>
      <c r="X56" s="18">
        <v>46</v>
      </c>
      <c r="Y56" s="10">
        <v>92</v>
      </c>
      <c r="Z56" s="21">
        <v>1794</v>
      </c>
      <c r="AA56" s="22">
        <v>365.14800000000002</v>
      </c>
      <c r="AB56" s="34" t="str">
        <f>TEXT(Table2[[#This Row],[Order Date]],"ddd")</f>
        <v>Sun</v>
      </c>
      <c r="AC56">
        <v>2</v>
      </c>
      <c r="AD56" s="34" t="str">
        <f>_xlfn.IFS(Table2[[#This Row],[Revenue]]&gt;=2000,"High_Spender",Table2[[#This Row],[Revenue]]&gt;=1000,"Middle_Spender",Table2[[#This Row],[Revenue]]&lt;1000,"Low_Spender")</f>
        <v>Middle_Spender</v>
      </c>
      <c r="AE56" s="34">
        <f>WEEKDAY(Table2[[#This Row],[Shipped_Date]])</f>
        <v>3</v>
      </c>
      <c r="AF56" s="42" t="str">
        <f>IF(Table2[[#This Row],[Weekday]]&gt;5,"Weekend","Weekday")</f>
        <v>Weekday</v>
      </c>
    </row>
    <row r="57" spans="2:32">
      <c r="B57" s="12">
        <v>1423</v>
      </c>
      <c r="C57" s="14">
        <v>41982</v>
      </c>
      <c r="D57" s="13">
        <v>9</v>
      </c>
      <c r="E57" s="16" t="s">
        <v>125</v>
      </c>
      <c r="F57" s="16" t="s">
        <v>126</v>
      </c>
      <c r="G57" s="16" t="s">
        <v>127</v>
      </c>
      <c r="H57" s="16" t="s">
        <v>128</v>
      </c>
      <c r="I57" s="13">
        <v>99999</v>
      </c>
      <c r="J57" s="16" t="s">
        <v>30</v>
      </c>
      <c r="K57" s="16" t="s">
        <v>129</v>
      </c>
      <c r="L57" s="16" t="s">
        <v>32</v>
      </c>
      <c r="M57" s="14">
        <v>41984</v>
      </c>
      <c r="N57" s="16" t="s">
        <v>46</v>
      </c>
      <c r="O57" s="16" t="s">
        <v>130</v>
      </c>
      <c r="P57" s="16" t="s">
        <v>126</v>
      </c>
      <c r="Q57" s="16" t="s">
        <v>127</v>
      </c>
      <c r="R57" s="16" t="s">
        <v>128</v>
      </c>
      <c r="S57" s="13">
        <v>99999</v>
      </c>
      <c r="T57" s="16" t="s">
        <v>30</v>
      </c>
      <c r="U57" s="16" t="s">
        <v>35</v>
      </c>
      <c r="V57" s="16" t="s">
        <v>80</v>
      </c>
      <c r="W57" s="16" t="s">
        <v>81</v>
      </c>
      <c r="X57" s="19">
        <v>9.65</v>
      </c>
      <c r="Y57" s="13">
        <v>34</v>
      </c>
      <c r="Z57" s="23">
        <v>530.75</v>
      </c>
      <c r="AA57" s="24">
        <v>68.582549999999998</v>
      </c>
      <c r="AB57" s="34" t="str">
        <f>TEXT(Table2[[#This Row],[Order Date]],"ddd")</f>
        <v>Tue</v>
      </c>
      <c r="AC57">
        <v>2</v>
      </c>
      <c r="AD57" s="34" t="str">
        <f>_xlfn.IFS(Table2[[#This Row],[Revenue]]&gt;=2000,"High_Spender",Table2[[#This Row],[Revenue]]&gt;=1000,"Middle_Spender",Table2[[#This Row],[Revenue]]&lt;1000,"Low_Spender")</f>
        <v>Low_Spender</v>
      </c>
      <c r="AE57" s="34">
        <f>WEEKDAY(Table2[[#This Row],[Shipped_Date]])</f>
        <v>5</v>
      </c>
      <c r="AF57" s="42" t="str">
        <f>IF(Table2[[#This Row],[Weekday]]&gt;5,"Weekend","Weekday")</f>
        <v>Weekday</v>
      </c>
    </row>
    <row r="58" spans="2:32">
      <c r="B58" s="9">
        <v>1424</v>
      </c>
      <c r="C58" s="11">
        <v>41979</v>
      </c>
      <c r="D58" s="10">
        <v>6</v>
      </c>
      <c r="E58" s="15" t="s">
        <v>82</v>
      </c>
      <c r="F58" s="15" t="s">
        <v>83</v>
      </c>
      <c r="G58" s="15" t="s">
        <v>84</v>
      </c>
      <c r="H58" s="15" t="s">
        <v>85</v>
      </c>
      <c r="I58" s="10">
        <v>99999</v>
      </c>
      <c r="J58" s="15" t="s">
        <v>30</v>
      </c>
      <c r="K58" s="15" t="s">
        <v>86</v>
      </c>
      <c r="L58" s="15" t="s">
        <v>61</v>
      </c>
      <c r="M58" s="11">
        <v>41981</v>
      </c>
      <c r="N58" s="15" t="s">
        <v>33</v>
      </c>
      <c r="O58" s="15" t="s">
        <v>87</v>
      </c>
      <c r="P58" s="15" t="s">
        <v>83</v>
      </c>
      <c r="Q58" s="15" t="s">
        <v>84</v>
      </c>
      <c r="R58" s="15" t="s">
        <v>85</v>
      </c>
      <c r="S58" s="10">
        <v>99999</v>
      </c>
      <c r="T58" s="15" t="s">
        <v>30</v>
      </c>
      <c r="U58" s="15" t="s">
        <v>48</v>
      </c>
      <c r="V58" s="15" t="s">
        <v>72</v>
      </c>
      <c r="W58" s="15" t="s">
        <v>73</v>
      </c>
      <c r="X58" s="18">
        <v>12.75</v>
      </c>
      <c r="Y58" s="10">
        <v>41</v>
      </c>
      <c r="Z58" s="21">
        <v>1096.5</v>
      </c>
      <c r="AA58" s="22">
        <v>43.783499999999997</v>
      </c>
      <c r="AB58" s="34" t="str">
        <f>TEXT(Table2[[#This Row],[Order Date]],"ddd")</f>
        <v>Sat</v>
      </c>
      <c r="AC58">
        <v>2</v>
      </c>
      <c r="AD58" s="34" t="str">
        <f>_xlfn.IFS(Table2[[#This Row],[Revenue]]&gt;=2000,"High_Spender",Table2[[#This Row],[Revenue]]&gt;=1000,"Middle_Spender",Table2[[#This Row],[Revenue]]&lt;1000,"Low_Spender")</f>
        <v>Middle_Spender</v>
      </c>
      <c r="AE58" s="34">
        <f>WEEKDAY(Table2[[#This Row],[Shipped_Date]])</f>
        <v>2</v>
      </c>
      <c r="AF58" s="42" t="str">
        <f>IF(Table2[[#This Row],[Weekday]]&gt;5,"Weekend","Weekday")</f>
        <v>Weekday</v>
      </c>
    </row>
    <row r="59" spans="2:32">
      <c r="B59" s="12">
        <v>1425</v>
      </c>
      <c r="C59" s="14">
        <v>41981</v>
      </c>
      <c r="D59" s="13">
        <v>8</v>
      </c>
      <c r="E59" s="16" t="s">
        <v>56</v>
      </c>
      <c r="F59" s="16" t="s">
        <v>57</v>
      </c>
      <c r="G59" s="16" t="s">
        <v>58</v>
      </c>
      <c r="H59" s="16" t="s">
        <v>59</v>
      </c>
      <c r="I59" s="13">
        <v>99999</v>
      </c>
      <c r="J59" s="16" t="s">
        <v>30</v>
      </c>
      <c r="K59" s="16" t="s">
        <v>60</v>
      </c>
      <c r="L59" s="16" t="s">
        <v>61</v>
      </c>
      <c r="M59" s="14">
        <v>41983</v>
      </c>
      <c r="N59" s="16" t="s">
        <v>33</v>
      </c>
      <c r="O59" s="16" t="s">
        <v>63</v>
      </c>
      <c r="P59" s="16" t="s">
        <v>57</v>
      </c>
      <c r="Q59" s="16" t="s">
        <v>58</v>
      </c>
      <c r="R59" s="16" t="s">
        <v>59</v>
      </c>
      <c r="S59" s="13">
        <v>99999</v>
      </c>
      <c r="T59" s="16" t="s">
        <v>30</v>
      </c>
      <c r="U59" s="16" t="s">
        <v>35</v>
      </c>
      <c r="V59" s="16" t="s">
        <v>72</v>
      </c>
      <c r="W59" s="16" t="s">
        <v>73</v>
      </c>
      <c r="X59" s="19">
        <v>12.75</v>
      </c>
      <c r="Y59" s="13">
        <v>67</v>
      </c>
      <c r="Z59" s="23">
        <v>1185.75</v>
      </c>
      <c r="AA59" s="24">
        <v>82.875</v>
      </c>
      <c r="AB59" s="34" t="str">
        <f>TEXT(Table2[[#This Row],[Order Date]],"ddd")</f>
        <v>Mon</v>
      </c>
      <c r="AC59">
        <v>2</v>
      </c>
      <c r="AD59" s="34" t="str">
        <f>_xlfn.IFS(Table2[[#This Row],[Revenue]]&gt;=2000,"High_Spender",Table2[[#This Row],[Revenue]]&gt;=1000,"Middle_Spender",Table2[[#This Row],[Revenue]]&lt;1000,"Low_Spender")</f>
        <v>Middle_Spender</v>
      </c>
      <c r="AE59" s="34">
        <f>WEEKDAY(Table2[[#This Row],[Shipped_Date]])</f>
        <v>4</v>
      </c>
      <c r="AF59" s="42" t="str">
        <f>IF(Table2[[#This Row],[Weekday]]&gt;5,"Weekend","Weekday")</f>
        <v>Weekday</v>
      </c>
    </row>
    <row r="60" spans="2:32">
      <c r="B60" s="9">
        <v>1426</v>
      </c>
      <c r="C60" s="11">
        <v>41998</v>
      </c>
      <c r="D60" s="10">
        <v>25</v>
      </c>
      <c r="E60" s="15" t="s">
        <v>135</v>
      </c>
      <c r="F60" s="15" t="s">
        <v>136</v>
      </c>
      <c r="G60" s="15" t="s">
        <v>99</v>
      </c>
      <c r="H60" s="15" t="s">
        <v>100</v>
      </c>
      <c r="I60" s="10">
        <v>99999</v>
      </c>
      <c r="J60" s="15" t="s">
        <v>30</v>
      </c>
      <c r="K60" s="15" t="s">
        <v>101</v>
      </c>
      <c r="L60" s="15" t="s">
        <v>45</v>
      </c>
      <c r="M60" s="11">
        <v>42000</v>
      </c>
      <c r="N60" s="15" t="s">
        <v>46</v>
      </c>
      <c r="O60" s="15" t="s">
        <v>137</v>
      </c>
      <c r="P60" s="15" t="s">
        <v>136</v>
      </c>
      <c r="Q60" s="15" t="s">
        <v>99</v>
      </c>
      <c r="R60" s="15" t="s">
        <v>100</v>
      </c>
      <c r="S60" s="10">
        <v>99999</v>
      </c>
      <c r="T60" s="15" t="s">
        <v>30</v>
      </c>
      <c r="U60" s="15" t="s">
        <v>79</v>
      </c>
      <c r="V60" s="15" t="s">
        <v>111</v>
      </c>
      <c r="W60" s="15" t="s">
        <v>112</v>
      </c>
      <c r="X60" s="18">
        <v>22</v>
      </c>
      <c r="Y60" s="10">
        <v>74</v>
      </c>
      <c r="Z60" s="21">
        <v>1166</v>
      </c>
      <c r="AA60" s="22">
        <v>84.48</v>
      </c>
      <c r="AB60" s="34" t="str">
        <f>TEXT(Table2[[#This Row],[Order Date]],"ddd")</f>
        <v>Thu</v>
      </c>
      <c r="AC60">
        <v>2</v>
      </c>
      <c r="AD60" s="34" t="str">
        <f>_xlfn.IFS(Table2[[#This Row],[Revenue]]&gt;=2000,"High_Spender",Table2[[#This Row],[Revenue]]&gt;=1000,"Middle_Spender",Table2[[#This Row],[Revenue]]&lt;1000,"Low_Spender")</f>
        <v>Middle_Spender</v>
      </c>
      <c r="AE60" s="34">
        <f>WEEKDAY(Table2[[#This Row],[Shipped_Date]])</f>
        <v>7</v>
      </c>
      <c r="AF60" s="42" t="str">
        <f>IF(Table2[[#This Row],[Weekday]]&gt;5,"Weekend","Weekday")</f>
        <v>Weekend</v>
      </c>
    </row>
    <row r="61" spans="2:32">
      <c r="B61" s="12">
        <v>1427</v>
      </c>
      <c r="C61" s="14">
        <v>41999</v>
      </c>
      <c r="D61" s="13">
        <v>26</v>
      </c>
      <c r="E61" s="16" t="s">
        <v>139</v>
      </c>
      <c r="F61" s="16" t="s">
        <v>140</v>
      </c>
      <c r="G61" s="16" t="s">
        <v>115</v>
      </c>
      <c r="H61" s="16" t="s">
        <v>116</v>
      </c>
      <c r="I61" s="13">
        <v>99999</v>
      </c>
      <c r="J61" s="16" t="s">
        <v>30</v>
      </c>
      <c r="K61" s="16" t="s">
        <v>94</v>
      </c>
      <c r="L61" s="16" t="s">
        <v>95</v>
      </c>
      <c r="M61" s="14">
        <v>42001</v>
      </c>
      <c r="N61" s="16" t="s">
        <v>62</v>
      </c>
      <c r="O61" s="16" t="s">
        <v>141</v>
      </c>
      <c r="P61" s="16" t="s">
        <v>140</v>
      </c>
      <c r="Q61" s="16" t="s">
        <v>115</v>
      </c>
      <c r="R61" s="16" t="s">
        <v>116</v>
      </c>
      <c r="S61" s="13">
        <v>99999</v>
      </c>
      <c r="T61" s="16" t="s">
        <v>30</v>
      </c>
      <c r="U61" s="16" t="s">
        <v>48</v>
      </c>
      <c r="V61" s="16" t="s">
        <v>109</v>
      </c>
      <c r="W61" s="16" t="s">
        <v>110</v>
      </c>
      <c r="X61" s="19">
        <v>25</v>
      </c>
      <c r="Y61" s="13">
        <v>24</v>
      </c>
      <c r="Z61" s="23">
        <v>1550</v>
      </c>
      <c r="AA61" s="24">
        <v>164.15</v>
      </c>
      <c r="AB61" s="34" t="str">
        <f>TEXT(Table2[[#This Row],[Order Date]],"ddd")</f>
        <v>Fri</v>
      </c>
      <c r="AC61">
        <v>2</v>
      </c>
      <c r="AD61" s="34" t="str">
        <f>_xlfn.IFS(Table2[[#This Row],[Revenue]]&gt;=2000,"High_Spender",Table2[[#This Row],[Revenue]]&gt;=1000,"Middle_Spender",Table2[[#This Row],[Revenue]]&lt;1000,"Low_Spender")</f>
        <v>Middle_Spender</v>
      </c>
      <c r="AE61" s="34">
        <f>WEEKDAY(Table2[[#This Row],[Shipped_Date]])</f>
        <v>1</v>
      </c>
      <c r="AF61" s="42" t="str">
        <f>IF(Table2[[#This Row],[Weekday]]&gt;5,"Weekend","Weekday")</f>
        <v>Weekday</v>
      </c>
    </row>
    <row r="62" spans="2:32">
      <c r="B62" s="9">
        <v>1428</v>
      </c>
      <c r="C62" s="11">
        <v>42002</v>
      </c>
      <c r="D62" s="10">
        <v>29</v>
      </c>
      <c r="E62" s="15" t="s">
        <v>66</v>
      </c>
      <c r="F62" s="15" t="s">
        <v>67</v>
      </c>
      <c r="G62" s="15" t="s">
        <v>68</v>
      </c>
      <c r="H62" s="15" t="s">
        <v>69</v>
      </c>
      <c r="I62" s="10">
        <v>99999</v>
      </c>
      <c r="J62" s="15" t="s">
        <v>30</v>
      </c>
      <c r="K62" s="15" t="s">
        <v>70</v>
      </c>
      <c r="L62" s="15" t="s">
        <v>32</v>
      </c>
      <c r="M62" s="11">
        <v>42004</v>
      </c>
      <c r="N62" s="15" t="s">
        <v>33</v>
      </c>
      <c r="O62" s="15" t="s">
        <v>71</v>
      </c>
      <c r="P62" s="15" t="s">
        <v>67</v>
      </c>
      <c r="Q62" s="15" t="s">
        <v>68</v>
      </c>
      <c r="R62" s="15" t="s">
        <v>69</v>
      </c>
      <c r="S62" s="10">
        <v>99999</v>
      </c>
      <c r="T62" s="15" t="s">
        <v>30</v>
      </c>
      <c r="U62" s="15" t="s">
        <v>35</v>
      </c>
      <c r="V62" s="15" t="s">
        <v>149</v>
      </c>
      <c r="W62" s="15" t="s">
        <v>150</v>
      </c>
      <c r="X62" s="18">
        <v>39</v>
      </c>
      <c r="Y62" s="10">
        <v>41</v>
      </c>
      <c r="Z62" s="21">
        <v>546</v>
      </c>
      <c r="AA62" s="22">
        <v>193.011</v>
      </c>
      <c r="AB62" s="34" t="str">
        <f>TEXT(Table2[[#This Row],[Order Date]],"ddd")</f>
        <v>Mon</v>
      </c>
      <c r="AC62">
        <v>2</v>
      </c>
      <c r="AD62" s="34" t="str">
        <f>_xlfn.IFS(Table2[[#This Row],[Revenue]]&gt;=2000,"High_Spender",Table2[[#This Row],[Revenue]]&gt;=1000,"Middle_Spender",Table2[[#This Row],[Revenue]]&lt;1000,"Low_Spender")</f>
        <v>Low_Spender</v>
      </c>
      <c r="AE62" s="34">
        <f>WEEKDAY(Table2[[#This Row],[Shipped_Date]])</f>
        <v>4</v>
      </c>
      <c r="AF62" s="42" t="str">
        <f>IF(Table2[[#This Row],[Weekday]]&gt;5,"Weekend","Weekday")</f>
        <v>Weekday</v>
      </c>
    </row>
    <row r="63" spans="2:32">
      <c r="B63" s="12">
        <v>1429</v>
      </c>
      <c r="C63" s="14">
        <v>41979</v>
      </c>
      <c r="D63" s="13">
        <v>6</v>
      </c>
      <c r="E63" s="16" t="s">
        <v>82</v>
      </c>
      <c r="F63" s="16" t="s">
        <v>83</v>
      </c>
      <c r="G63" s="16" t="s">
        <v>84</v>
      </c>
      <c r="H63" s="16" t="s">
        <v>85</v>
      </c>
      <c r="I63" s="13">
        <v>99999</v>
      </c>
      <c r="J63" s="16" t="s">
        <v>30</v>
      </c>
      <c r="K63" s="16" t="s">
        <v>86</v>
      </c>
      <c r="L63" s="16" t="s">
        <v>61</v>
      </c>
      <c r="M63" s="14">
        <v>41981</v>
      </c>
      <c r="N63" s="16" t="s">
        <v>62</v>
      </c>
      <c r="O63" s="16" t="s">
        <v>87</v>
      </c>
      <c r="P63" s="16" t="s">
        <v>83</v>
      </c>
      <c r="Q63" s="16" t="s">
        <v>84</v>
      </c>
      <c r="R63" s="16" t="s">
        <v>85</v>
      </c>
      <c r="S63" s="13">
        <v>99999</v>
      </c>
      <c r="T63" s="16" t="s">
        <v>30</v>
      </c>
      <c r="U63" s="16" t="s">
        <v>35</v>
      </c>
      <c r="V63" s="16" t="s">
        <v>49</v>
      </c>
      <c r="W63" s="16" t="s">
        <v>39</v>
      </c>
      <c r="X63" s="19">
        <v>30</v>
      </c>
      <c r="Y63" s="13">
        <v>12</v>
      </c>
      <c r="Z63" s="23">
        <v>2190</v>
      </c>
      <c r="AA63" s="24">
        <v>200.85</v>
      </c>
      <c r="AB63" s="34" t="str">
        <f>TEXT(Table2[[#This Row],[Order Date]],"ddd")</f>
        <v>Sat</v>
      </c>
      <c r="AC63">
        <v>2</v>
      </c>
      <c r="AD63" s="34" t="str">
        <f>_xlfn.IFS(Table2[[#This Row],[Revenue]]&gt;=2000,"High_Spender",Table2[[#This Row],[Revenue]]&gt;=1000,"Middle_Spender",Table2[[#This Row],[Revenue]]&lt;1000,"Low_Spender")</f>
        <v>High_Spender</v>
      </c>
      <c r="AE63" s="34">
        <f>WEEKDAY(Table2[[#This Row],[Shipped_Date]])</f>
        <v>2</v>
      </c>
      <c r="AF63" s="42" t="str">
        <f>IF(Table2[[#This Row],[Weekday]]&gt;5,"Weekend","Weekday")</f>
        <v>Weekday</v>
      </c>
    </row>
    <row r="64" spans="2:32">
      <c r="B64" s="9">
        <v>1430</v>
      </c>
      <c r="C64" s="11">
        <v>41979</v>
      </c>
      <c r="D64" s="10">
        <v>6</v>
      </c>
      <c r="E64" s="15" t="s">
        <v>82</v>
      </c>
      <c r="F64" s="15" t="s">
        <v>83</v>
      </c>
      <c r="G64" s="15" t="s">
        <v>84</v>
      </c>
      <c r="H64" s="15" t="s">
        <v>85</v>
      </c>
      <c r="I64" s="10">
        <v>99999</v>
      </c>
      <c r="J64" s="15" t="s">
        <v>30</v>
      </c>
      <c r="K64" s="15" t="s">
        <v>86</v>
      </c>
      <c r="L64" s="15" t="s">
        <v>61</v>
      </c>
      <c r="M64" s="11">
        <v>41981</v>
      </c>
      <c r="N64" s="15" t="s">
        <v>62</v>
      </c>
      <c r="O64" s="15" t="s">
        <v>87</v>
      </c>
      <c r="P64" s="15" t="s">
        <v>83</v>
      </c>
      <c r="Q64" s="15" t="s">
        <v>84</v>
      </c>
      <c r="R64" s="15" t="s">
        <v>85</v>
      </c>
      <c r="S64" s="10">
        <v>99999</v>
      </c>
      <c r="T64" s="15" t="s">
        <v>30</v>
      </c>
      <c r="U64" s="15" t="s">
        <v>35</v>
      </c>
      <c r="V64" s="15" t="s">
        <v>50</v>
      </c>
      <c r="W64" s="15" t="s">
        <v>39</v>
      </c>
      <c r="X64" s="18">
        <v>53</v>
      </c>
      <c r="Y64" s="10">
        <v>68</v>
      </c>
      <c r="Z64" s="21">
        <v>3763</v>
      </c>
      <c r="AA64" s="22">
        <v>225.62100000000001</v>
      </c>
      <c r="AB64" s="34" t="str">
        <f>TEXT(Table2[[#This Row],[Order Date]],"ddd")</f>
        <v>Sat</v>
      </c>
      <c r="AC64">
        <v>2</v>
      </c>
      <c r="AD64" s="34" t="str">
        <f>_xlfn.IFS(Table2[[#This Row],[Revenue]]&gt;=2000,"High_Spender",Table2[[#This Row],[Revenue]]&gt;=1000,"Middle_Spender",Table2[[#This Row],[Revenue]]&lt;1000,"Low_Spender")</f>
        <v>High_Spender</v>
      </c>
      <c r="AE64" s="34">
        <f>WEEKDAY(Table2[[#This Row],[Shipped_Date]])</f>
        <v>2</v>
      </c>
      <c r="AF64" s="42" t="str">
        <f>IF(Table2[[#This Row],[Weekday]]&gt;5,"Weekend","Weekday")</f>
        <v>Weekday</v>
      </c>
    </row>
    <row r="65" spans="2:32">
      <c r="B65" s="12">
        <v>1431</v>
      </c>
      <c r="C65" s="14">
        <v>41977</v>
      </c>
      <c r="D65" s="13">
        <v>4</v>
      </c>
      <c r="E65" s="16" t="s">
        <v>40</v>
      </c>
      <c r="F65" s="16" t="s">
        <v>41</v>
      </c>
      <c r="G65" s="16" t="s">
        <v>42</v>
      </c>
      <c r="H65" s="16" t="s">
        <v>43</v>
      </c>
      <c r="I65" s="13">
        <v>99999</v>
      </c>
      <c r="J65" s="16" t="s">
        <v>30</v>
      </c>
      <c r="K65" s="16" t="s">
        <v>44</v>
      </c>
      <c r="L65" s="16" t="s">
        <v>45</v>
      </c>
      <c r="M65" s="14">
        <v>41979</v>
      </c>
      <c r="N65" s="16" t="s">
        <v>201</v>
      </c>
      <c r="O65" s="16" t="s">
        <v>47</v>
      </c>
      <c r="P65" s="16" t="s">
        <v>41</v>
      </c>
      <c r="Q65" s="16" t="s">
        <v>42</v>
      </c>
      <c r="R65" s="16" t="s">
        <v>43</v>
      </c>
      <c r="S65" s="13">
        <v>99999</v>
      </c>
      <c r="T65" s="16" t="s">
        <v>30</v>
      </c>
      <c r="U65" s="16" t="s">
        <v>48</v>
      </c>
      <c r="V65" s="16" t="s">
        <v>151</v>
      </c>
      <c r="W65" s="16" t="s">
        <v>132</v>
      </c>
      <c r="X65" s="19">
        <v>38</v>
      </c>
      <c r="Y65" s="13">
        <v>33</v>
      </c>
      <c r="Z65" s="23">
        <v>2812</v>
      </c>
      <c r="AA65" s="24">
        <v>175.02799999999999</v>
      </c>
      <c r="AB65" s="34" t="str">
        <f>TEXT(Table2[[#This Row],[Order Date]],"ddd")</f>
        <v>Thu</v>
      </c>
      <c r="AC65">
        <v>2</v>
      </c>
      <c r="AD65" s="34" t="str">
        <f>_xlfn.IFS(Table2[[#This Row],[Revenue]]&gt;=2000,"High_Spender",Table2[[#This Row],[Revenue]]&gt;=1000,"Middle_Spender",Table2[[#This Row],[Revenue]]&lt;1000,"Low_Spender")</f>
        <v>High_Spender</v>
      </c>
      <c r="AE65" s="34">
        <f>WEEKDAY(Table2[[#This Row],[Shipped_Date]])</f>
        <v>7</v>
      </c>
      <c r="AF65" s="42" t="str">
        <f>IF(Table2[[#This Row],[Weekday]]&gt;5,"Weekend","Weekday")</f>
        <v>Weekend</v>
      </c>
    </row>
    <row r="66" spans="2:32">
      <c r="B66" s="9">
        <v>1432</v>
      </c>
      <c r="C66" s="11">
        <v>41976</v>
      </c>
      <c r="D66" s="10">
        <v>3</v>
      </c>
      <c r="E66" s="15" t="s">
        <v>74</v>
      </c>
      <c r="F66" s="15" t="s">
        <v>75</v>
      </c>
      <c r="G66" s="15" t="s">
        <v>76</v>
      </c>
      <c r="H66" s="15" t="s">
        <v>77</v>
      </c>
      <c r="I66" s="10">
        <v>99999</v>
      </c>
      <c r="J66" s="15" t="s">
        <v>30</v>
      </c>
      <c r="K66" s="15" t="s">
        <v>31</v>
      </c>
      <c r="L66" s="15" t="s">
        <v>32</v>
      </c>
      <c r="M66" s="11">
        <v>41979</v>
      </c>
      <c r="N66" s="15" t="s">
        <v>201</v>
      </c>
      <c r="O66" s="15" t="s">
        <v>78</v>
      </c>
      <c r="P66" s="15" t="s">
        <v>75</v>
      </c>
      <c r="Q66" s="15" t="s">
        <v>76</v>
      </c>
      <c r="R66" s="15" t="s">
        <v>77</v>
      </c>
      <c r="S66" s="10">
        <v>99999</v>
      </c>
      <c r="T66" s="15" t="s">
        <v>30</v>
      </c>
      <c r="U66" s="15" t="s">
        <v>48</v>
      </c>
      <c r="V66" s="15" t="s">
        <v>103</v>
      </c>
      <c r="W66" s="15" t="s">
        <v>37</v>
      </c>
      <c r="X66" s="18">
        <v>2.99</v>
      </c>
      <c r="Y66" s="10">
        <v>12</v>
      </c>
      <c r="Z66" s="21">
        <v>296.01</v>
      </c>
      <c r="AA66" s="22">
        <v>17.042999999999999</v>
      </c>
      <c r="AB66" s="34" t="str">
        <f>TEXT(Table2[[#This Row],[Order Date]],"ddd")</f>
        <v>Wed</v>
      </c>
      <c r="AC66">
        <v>3</v>
      </c>
      <c r="AD66" s="34" t="str">
        <f>_xlfn.IFS(Table2[[#This Row],[Revenue]]&gt;=2000,"High_Spender",Table2[[#This Row],[Revenue]]&gt;=1000,"Middle_Spender",Table2[[#This Row],[Revenue]]&lt;1000,"Low_Spender")</f>
        <v>Low_Spender</v>
      </c>
      <c r="AE66" s="34">
        <f>WEEKDAY(Table2[[#This Row],[Shipped_Date]])</f>
        <v>7</v>
      </c>
      <c r="AF66" s="42" t="str">
        <f>IF(Table2[[#This Row],[Weekday]]&gt;5,"Weekend","Weekday")</f>
        <v>Weekend</v>
      </c>
    </row>
  </sheetData>
  <phoneticPr fontId="8" type="noConversion"/>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60C3C-784C-4B62-94B4-A0E74FDBE00A}">
  <dimension ref="A1:Z34"/>
  <sheetViews>
    <sheetView workbookViewId="0">
      <selection activeCell="T48" sqref="T48"/>
    </sheetView>
  </sheetViews>
  <sheetFormatPr defaultRowHeight="15"/>
  <cols>
    <col min="1" max="1" width="9.140625" style="8"/>
    <col min="2" max="2" width="10.7109375" style="6" bestFit="1" customWidth="1"/>
    <col min="3" max="3" width="11.85546875" style="8" bestFit="1" customWidth="1"/>
    <col min="4" max="4" width="15.42578125" bestFit="1" customWidth="1"/>
    <col min="5" max="5" width="14.28515625" bestFit="1" customWidth="1"/>
    <col min="6" max="6" width="11.28515625" bestFit="1" customWidth="1"/>
    <col min="8" max="9" width="15.140625" bestFit="1" customWidth="1"/>
    <col min="10" max="10" width="16.42578125" bestFit="1" customWidth="1"/>
    <col min="12" max="12" width="12.85546875" bestFit="1" customWidth="1"/>
    <col min="13" max="13" width="19.42578125" bestFit="1" customWidth="1"/>
    <col min="14" max="14" width="18.42578125" bestFit="1" customWidth="1"/>
    <col min="15" max="15" width="14.28515625" bestFit="1" customWidth="1"/>
    <col min="16" max="16" width="11.28515625" bestFit="1" customWidth="1"/>
    <col min="17" max="17" width="9.85546875" bestFit="1" customWidth="1"/>
    <col min="18" max="19" width="19.5703125" bestFit="1" customWidth="1"/>
    <col min="20" max="20" width="13.7109375" bestFit="1" customWidth="1"/>
    <col min="21" max="21" width="21" bestFit="1" customWidth="1"/>
    <col min="22" max="22" width="20.28515625" bestFit="1" customWidth="1"/>
    <col min="23" max="23" width="9.7109375" bestFit="1" customWidth="1"/>
    <col min="24" max="24" width="8.7109375" bestFit="1" customWidth="1"/>
    <col min="26" max="26" width="12.42578125" bestFit="1" customWidth="1"/>
  </cols>
  <sheetData>
    <row r="1" spans="1:26">
      <c r="A1" s="7" t="s">
        <v>0</v>
      </c>
      <c r="B1" s="5" t="s">
        <v>1</v>
      </c>
      <c r="C1" s="7"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s="8">
        <v>1370</v>
      </c>
      <c r="B2" s="6">
        <v>41977</v>
      </c>
      <c r="C2" s="8">
        <v>4</v>
      </c>
      <c r="D2" t="s">
        <v>40</v>
      </c>
      <c r="E2" t="s">
        <v>41</v>
      </c>
      <c r="F2" t="s">
        <v>42</v>
      </c>
      <c r="G2" t="s">
        <v>43</v>
      </c>
      <c r="H2">
        <v>99999</v>
      </c>
      <c r="I2" t="s">
        <v>30</v>
      </c>
      <c r="J2" t="s">
        <v>44</v>
      </c>
      <c r="K2" t="s">
        <v>45</v>
      </c>
      <c r="L2" s="2">
        <f t="shared" ref="L2:L9" si="0">B2+2</f>
        <v>41979</v>
      </c>
      <c r="M2" t="s">
        <v>46</v>
      </c>
      <c r="N2" t="s">
        <v>47</v>
      </c>
      <c r="O2" t="s">
        <v>41</v>
      </c>
      <c r="P2" t="s">
        <v>42</v>
      </c>
      <c r="Q2" t="s">
        <v>43</v>
      </c>
      <c r="R2">
        <v>99999</v>
      </c>
      <c r="S2" t="s">
        <v>30</v>
      </c>
      <c r="T2" t="s">
        <v>48</v>
      </c>
      <c r="U2" t="s">
        <v>49</v>
      </c>
      <c r="V2" t="s">
        <v>39</v>
      </c>
      <c r="W2" s="3">
        <v>30</v>
      </c>
      <c r="X2">
        <v>81</v>
      </c>
      <c r="Y2" s="3">
        <v>2430</v>
      </c>
      <c r="Z2" s="4">
        <v>255.15</v>
      </c>
    </row>
    <row r="3" spans="1:26">
      <c r="A3" s="8">
        <v>1371</v>
      </c>
      <c r="B3" s="6">
        <v>41977</v>
      </c>
      <c r="C3" s="8">
        <v>4</v>
      </c>
      <c r="D3" t="s">
        <v>40</v>
      </c>
      <c r="E3" t="s">
        <v>41</v>
      </c>
      <c r="F3" t="s">
        <v>42</v>
      </c>
      <c r="G3" t="s">
        <v>43</v>
      </c>
      <c r="H3">
        <v>99999</v>
      </c>
      <c r="I3" t="s">
        <v>30</v>
      </c>
      <c r="J3" t="s">
        <v>44</v>
      </c>
      <c r="K3" t="s">
        <v>45</v>
      </c>
      <c r="L3" s="2">
        <f t="shared" si="0"/>
        <v>41979</v>
      </c>
      <c r="M3" t="s">
        <v>46</v>
      </c>
      <c r="N3" t="s">
        <v>47</v>
      </c>
      <c r="O3" t="s">
        <v>41</v>
      </c>
      <c r="P3" t="s">
        <v>42</v>
      </c>
      <c r="Q3" t="s">
        <v>43</v>
      </c>
      <c r="R3">
        <v>99999</v>
      </c>
      <c r="S3" t="s">
        <v>30</v>
      </c>
      <c r="T3" t="s">
        <v>48</v>
      </c>
      <c r="U3" t="s">
        <v>50</v>
      </c>
      <c r="V3" t="s">
        <v>39</v>
      </c>
      <c r="W3" s="3">
        <v>53</v>
      </c>
      <c r="X3">
        <v>83</v>
      </c>
      <c r="Y3" s="3">
        <v>4399</v>
      </c>
      <c r="Z3" s="4">
        <v>461.89499999999998</v>
      </c>
    </row>
    <row r="4" spans="1:26">
      <c r="A4" s="8">
        <v>1372</v>
      </c>
      <c r="B4" s="6">
        <v>41977</v>
      </c>
      <c r="C4" s="8">
        <v>4</v>
      </c>
      <c r="D4" t="s">
        <v>40</v>
      </c>
      <c r="E4" t="s">
        <v>41</v>
      </c>
      <c r="F4" t="s">
        <v>42</v>
      </c>
      <c r="G4" t="s">
        <v>43</v>
      </c>
      <c r="H4">
        <v>99999</v>
      </c>
      <c r="I4" t="s">
        <v>30</v>
      </c>
      <c r="J4" t="s">
        <v>44</v>
      </c>
      <c r="K4" t="s">
        <v>45</v>
      </c>
      <c r="L4" s="2">
        <f t="shared" si="0"/>
        <v>41979</v>
      </c>
      <c r="M4" t="s">
        <v>46</v>
      </c>
      <c r="N4" t="s">
        <v>47</v>
      </c>
      <c r="O4" t="s">
        <v>41</v>
      </c>
      <c r="P4" t="s">
        <v>42</v>
      </c>
      <c r="Q4" t="s">
        <v>43</v>
      </c>
      <c r="R4">
        <v>99999</v>
      </c>
      <c r="S4" t="s">
        <v>30</v>
      </c>
      <c r="T4" t="s">
        <v>48</v>
      </c>
      <c r="U4" t="s">
        <v>38</v>
      </c>
      <c r="V4" t="s">
        <v>39</v>
      </c>
      <c r="W4" s="3">
        <v>3.5</v>
      </c>
      <c r="X4">
        <v>75</v>
      </c>
      <c r="Y4" s="3">
        <v>262.5</v>
      </c>
      <c r="Z4" s="4">
        <v>26.25</v>
      </c>
    </row>
    <row r="5" spans="1:26">
      <c r="A5" s="8">
        <v>1375</v>
      </c>
      <c r="B5" s="6">
        <v>41981</v>
      </c>
      <c r="C5" s="8">
        <v>8</v>
      </c>
      <c r="D5" t="s">
        <v>56</v>
      </c>
      <c r="E5" t="s">
        <v>57</v>
      </c>
      <c r="F5" t="s">
        <v>58</v>
      </c>
      <c r="G5" t="s">
        <v>59</v>
      </c>
      <c r="H5">
        <v>99999</v>
      </c>
      <c r="I5" t="s">
        <v>30</v>
      </c>
      <c r="J5" t="s">
        <v>60</v>
      </c>
      <c r="K5" t="s">
        <v>61</v>
      </c>
      <c r="L5" s="2">
        <f t="shared" si="0"/>
        <v>41983</v>
      </c>
      <c r="M5" t="s">
        <v>62</v>
      </c>
      <c r="N5" t="s">
        <v>63</v>
      </c>
      <c r="O5" t="s">
        <v>57</v>
      </c>
      <c r="P5" t="s">
        <v>58</v>
      </c>
      <c r="Q5" t="s">
        <v>59</v>
      </c>
      <c r="R5">
        <v>99999</v>
      </c>
      <c r="S5" t="s">
        <v>30</v>
      </c>
      <c r="T5" t="s">
        <v>48</v>
      </c>
      <c r="U5" t="s">
        <v>64</v>
      </c>
      <c r="V5" t="s">
        <v>65</v>
      </c>
      <c r="W5" s="3">
        <v>9.1999999999999993</v>
      </c>
      <c r="X5">
        <v>28</v>
      </c>
      <c r="Y5" s="3">
        <v>257.60000000000002</v>
      </c>
      <c r="Z5" s="4">
        <v>24.472000000000001</v>
      </c>
    </row>
    <row r="6" spans="1:26">
      <c r="A6" s="8">
        <v>1376</v>
      </c>
      <c r="B6" s="6">
        <v>41977</v>
      </c>
      <c r="C6" s="8">
        <v>4</v>
      </c>
      <c r="D6" t="s">
        <v>40</v>
      </c>
      <c r="E6" t="s">
        <v>41</v>
      </c>
      <c r="F6" t="s">
        <v>42</v>
      </c>
      <c r="G6" t="s">
        <v>43</v>
      </c>
      <c r="H6">
        <v>99999</v>
      </c>
      <c r="I6" t="s">
        <v>30</v>
      </c>
      <c r="J6" t="s">
        <v>44</v>
      </c>
      <c r="K6" t="s">
        <v>45</v>
      </c>
      <c r="L6" s="2">
        <f t="shared" si="0"/>
        <v>41979</v>
      </c>
      <c r="M6" t="s">
        <v>62</v>
      </c>
      <c r="N6" t="s">
        <v>47</v>
      </c>
      <c r="O6" t="s">
        <v>41</v>
      </c>
      <c r="P6" t="s">
        <v>42</v>
      </c>
      <c r="Q6" t="s">
        <v>43</v>
      </c>
      <c r="R6">
        <v>99999</v>
      </c>
      <c r="S6" t="s">
        <v>30</v>
      </c>
      <c r="T6" t="s">
        <v>35</v>
      </c>
      <c r="U6" t="s">
        <v>64</v>
      </c>
      <c r="V6" t="s">
        <v>65</v>
      </c>
      <c r="W6" s="3">
        <v>9.1999999999999993</v>
      </c>
      <c r="X6">
        <v>97</v>
      </c>
      <c r="Y6" s="3">
        <v>892.4</v>
      </c>
      <c r="Z6" s="4">
        <v>93.701999999999998</v>
      </c>
    </row>
    <row r="7" spans="1:26">
      <c r="A7" s="8">
        <v>1378</v>
      </c>
      <c r="B7" s="6">
        <v>41976</v>
      </c>
      <c r="C7" s="8">
        <v>3</v>
      </c>
      <c r="D7" t="s">
        <v>74</v>
      </c>
      <c r="E7" t="s">
        <v>75</v>
      </c>
      <c r="F7" t="s">
        <v>76</v>
      </c>
      <c r="G7" t="s">
        <v>77</v>
      </c>
      <c r="H7">
        <v>99999</v>
      </c>
      <c r="I7" t="s">
        <v>30</v>
      </c>
      <c r="J7" t="s">
        <v>31</v>
      </c>
      <c r="K7" t="s">
        <v>32</v>
      </c>
      <c r="L7" s="2">
        <f t="shared" si="0"/>
        <v>41978</v>
      </c>
      <c r="M7" t="s">
        <v>33</v>
      </c>
      <c r="N7" t="s">
        <v>78</v>
      </c>
      <c r="O7" t="s">
        <v>75</v>
      </c>
      <c r="P7" t="s">
        <v>76</v>
      </c>
      <c r="Q7" t="s">
        <v>77</v>
      </c>
      <c r="R7">
        <v>99999</v>
      </c>
      <c r="S7" t="s">
        <v>30</v>
      </c>
      <c r="T7" t="s">
        <v>79</v>
      </c>
      <c r="U7" t="s">
        <v>80</v>
      </c>
      <c r="V7" t="s">
        <v>81</v>
      </c>
      <c r="W7" s="3">
        <v>9.65</v>
      </c>
      <c r="X7">
        <v>89</v>
      </c>
      <c r="Y7" s="3">
        <v>858.85</v>
      </c>
      <c r="Z7" s="4">
        <v>81.59075</v>
      </c>
    </row>
    <row r="8" spans="1:26">
      <c r="A8" s="8">
        <v>1381</v>
      </c>
      <c r="B8" s="6">
        <v>41981</v>
      </c>
      <c r="C8" s="8">
        <v>8</v>
      </c>
      <c r="D8" t="s">
        <v>56</v>
      </c>
      <c r="E8" t="s">
        <v>57</v>
      </c>
      <c r="F8" t="s">
        <v>58</v>
      </c>
      <c r="G8" t="s">
        <v>59</v>
      </c>
      <c r="H8">
        <v>99999</v>
      </c>
      <c r="I8" t="s">
        <v>30</v>
      </c>
      <c r="J8" t="s">
        <v>60</v>
      </c>
      <c r="K8" t="s">
        <v>61</v>
      </c>
      <c r="L8" s="2">
        <f t="shared" si="0"/>
        <v>41983</v>
      </c>
      <c r="M8" t="s">
        <v>62</v>
      </c>
      <c r="N8" t="s">
        <v>63</v>
      </c>
      <c r="O8" t="s">
        <v>57</v>
      </c>
      <c r="P8" t="s">
        <v>58</v>
      </c>
      <c r="Q8" t="s">
        <v>59</v>
      </c>
      <c r="R8">
        <v>99999</v>
      </c>
      <c r="S8" t="s">
        <v>30</v>
      </c>
      <c r="T8" t="s">
        <v>35</v>
      </c>
      <c r="U8" t="s">
        <v>72</v>
      </c>
      <c r="V8" t="s">
        <v>73</v>
      </c>
      <c r="W8" s="3">
        <v>12.75</v>
      </c>
      <c r="X8">
        <v>36</v>
      </c>
      <c r="Y8" s="3">
        <v>459</v>
      </c>
      <c r="Z8" s="4">
        <v>45.441000000000003</v>
      </c>
    </row>
    <row r="9" spans="1:26">
      <c r="A9" s="8">
        <v>1382</v>
      </c>
      <c r="B9" s="6">
        <v>41983</v>
      </c>
      <c r="C9" s="8">
        <v>10</v>
      </c>
      <c r="D9" t="s">
        <v>97</v>
      </c>
      <c r="E9" t="s">
        <v>98</v>
      </c>
      <c r="F9" t="s">
        <v>99</v>
      </c>
      <c r="G9" t="s">
        <v>100</v>
      </c>
      <c r="H9">
        <v>99999</v>
      </c>
      <c r="I9" t="s">
        <v>30</v>
      </c>
      <c r="J9" t="s">
        <v>101</v>
      </c>
      <c r="K9" t="s">
        <v>45</v>
      </c>
      <c r="L9" s="2">
        <f t="shared" si="0"/>
        <v>41985</v>
      </c>
      <c r="M9" t="s">
        <v>33</v>
      </c>
      <c r="N9" t="s">
        <v>102</v>
      </c>
      <c r="O9" t="s">
        <v>98</v>
      </c>
      <c r="P9" t="s">
        <v>99</v>
      </c>
      <c r="Q9" t="s">
        <v>100</v>
      </c>
      <c r="R9">
        <v>99999</v>
      </c>
      <c r="S9" t="s">
        <v>30</v>
      </c>
      <c r="T9" t="s">
        <v>48</v>
      </c>
      <c r="U9" t="s">
        <v>103</v>
      </c>
      <c r="V9" t="s">
        <v>37</v>
      </c>
      <c r="W9" s="3">
        <v>2.99</v>
      </c>
      <c r="X9">
        <v>93</v>
      </c>
      <c r="Y9" s="3">
        <v>278.07</v>
      </c>
      <c r="Z9" s="4">
        <v>26.416650000000001</v>
      </c>
    </row>
    <row r="10" spans="1:26">
      <c r="A10" s="8">
        <v>1383</v>
      </c>
      <c r="B10" s="6">
        <v>41980</v>
      </c>
      <c r="C10" s="8">
        <v>7</v>
      </c>
      <c r="D10" t="s">
        <v>104</v>
      </c>
      <c r="E10" t="s">
        <v>105</v>
      </c>
      <c r="F10" t="s">
        <v>106</v>
      </c>
      <c r="G10" t="s">
        <v>107</v>
      </c>
      <c r="H10">
        <v>99999</v>
      </c>
      <c r="I10" t="s">
        <v>30</v>
      </c>
      <c r="J10" t="s">
        <v>60</v>
      </c>
      <c r="K10" t="s">
        <v>61</v>
      </c>
      <c r="N10" t="s">
        <v>108</v>
      </c>
      <c r="O10" t="s">
        <v>105</v>
      </c>
      <c r="P10" t="s">
        <v>106</v>
      </c>
      <c r="Q10" t="s">
        <v>107</v>
      </c>
      <c r="R10">
        <v>99999</v>
      </c>
      <c r="S10" t="s">
        <v>30</v>
      </c>
      <c r="U10" t="s">
        <v>55</v>
      </c>
      <c r="V10" t="s">
        <v>37</v>
      </c>
      <c r="W10" s="3">
        <v>46</v>
      </c>
      <c r="X10">
        <v>64</v>
      </c>
      <c r="Y10" s="3">
        <v>2944</v>
      </c>
      <c r="Z10" s="4">
        <v>279.68</v>
      </c>
    </row>
    <row r="11" spans="1:26">
      <c r="A11" s="8">
        <v>1384</v>
      </c>
      <c r="B11" s="6">
        <v>41983</v>
      </c>
      <c r="C11" s="8">
        <v>10</v>
      </c>
      <c r="D11" t="s">
        <v>97</v>
      </c>
      <c r="E11" t="s">
        <v>98</v>
      </c>
      <c r="F11" t="s">
        <v>99</v>
      </c>
      <c r="G11" t="s">
        <v>100</v>
      </c>
      <c r="H11">
        <v>99999</v>
      </c>
      <c r="I11" t="s">
        <v>30</v>
      </c>
      <c r="J11" t="s">
        <v>101</v>
      </c>
      <c r="K11" t="s">
        <v>45</v>
      </c>
      <c r="L11" s="2">
        <f>B11+2</f>
        <v>41985</v>
      </c>
      <c r="M11" t="s">
        <v>46</v>
      </c>
      <c r="N11" t="s">
        <v>102</v>
      </c>
      <c r="O11" t="s">
        <v>98</v>
      </c>
      <c r="P11" t="s">
        <v>99</v>
      </c>
      <c r="Q11" t="s">
        <v>100</v>
      </c>
      <c r="R11">
        <v>99999</v>
      </c>
      <c r="S11" t="s">
        <v>30</v>
      </c>
      <c r="U11" t="s">
        <v>109</v>
      </c>
      <c r="V11" t="s">
        <v>110</v>
      </c>
      <c r="W11" s="3">
        <v>25</v>
      </c>
      <c r="X11">
        <v>84</v>
      </c>
      <c r="Y11" s="3">
        <v>2100</v>
      </c>
      <c r="Z11" s="4">
        <v>220.5</v>
      </c>
    </row>
    <row r="12" spans="1:26">
      <c r="A12" s="8">
        <v>1385</v>
      </c>
      <c r="B12" s="6">
        <v>41983</v>
      </c>
      <c r="C12" s="8">
        <v>10</v>
      </c>
      <c r="D12" t="s">
        <v>97</v>
      </c>
      <c r="E12" t="s">
        <v>98</v>
      </c>
      <c r="F12" t="s">
        <v>99</v>
      </c>
      <c r="G12" t="s">
        <v>100</v>
      </c>
      <c r="H12">
        <v>99999</v>
      </c>
      <c r="I12" t="s">
        <v>30</v>
      </c>
      <c r="J12" t="s">
        <v>101</v>
      </c>
      <c r="K12" t="s">
        <v>45</v>
      </c>
      <c r="L12" s="2">
        <f>B12+2</f>
        <v>41985</v>
      </c>
      <c r="M12" t="s">
        <v>46</v>
      </c>
      <c r="N12" t="s">
        <v>102</v>
      </c>
      <c r="O12" t="s">
        <v>98</v>
      </c>
      <c r="P12" t="s">
        <v>99</v>
      </c>
      <c r="Q12" t="s">
        <v>100</v>
      </c>
      <c r="R12">
        <v>99999</v>
      </c>
      <c r="S12" t="s">
        <v>30</v>
      </c>
      <c r="U12" t="s">
        <v>111</v>
      </c>
      <c r="V12" t="s">
        <v>112</v>
      </c>
      <c r="W12" s="3">
        <v>22</v>
      </c>
      <c r="X12">
        <v>72</v>
      </c>
      <c r="Y12" s="3">
        <v>1584</v>
      </c>
      <c r="Z12" s="4">
        <v>150.47999999999999</v>
      </c>
    </row>
    <row r="13" spans="1:26">
      <c r="A13" s="8">
        <v>1386</v>
      </c>
      <c r="B13" s="6">
        <v>41983</v>
      </c>
      <c r="C13" s="8">
        <v>10</v>
      </c>
      <c r="D13" t="s">
        <v>97</v>
      </c>
      <c r="E13" t="s">
        <v>98</v>
      </c>
      <c r="F13" t="s">
        <v>99</v>
      </c>
      <c r="G13" t="s">
        <v>100</v>
      </c>
      <c r="H13">
        <v>99999</v>
      </c>
      <c r="I13" t="s">
        <v>30</v>
      </c>
      <c r="J13" t="s">
        <v>101</v>
      </c>
      <c r="K13" t="s">
        <v>45</v>
      </c>
      <c r="L13" s="2">
        <f>B13+2</f>
        <v>41985</v>
      </c>
      <c r="M13" t="s">
        <v>46</v>
      </c>
      <c r="N13" t="s">
        <v>102</v>
      </c>
      <c r="O13" t="s">
        <v>98</v>
      </c>
      <c r="P13" t="s">
        <v>99</v>
      </c>
      <c r="Q13" t="s">
        <v>100</v>
      </c>
      <c r="R13">
        <v>99999</v>
      </c>
      <c r="S13" t="s">
        <v>30</v>
      </c>
      <c r="U13" t="s">
        <v>64</v>
      </c>
      <c r="V13" t="s">
        <v>65</v>
      </c>
      <c r="W13" s="3">
        <v>9.1999999999999993</v>
      </c>
      <c r="X13">
        <v>60</v>
      </c>
      <c r="Y13" s="3">
        <v>552</v>
      </c>
      <c r="Z13" s="4">
        <v>56.856000000000002</v>
      </c>
    </row>
    <row r="14" spans="1:26">
      <c r="A14" s="8">
        <v>1389</v>
      </c>
      <c r="B14" s="6">
        <v>41974</v>
      </c>
      <c r="C14" s="8">
        <v>1</v>
      </c>
      <c r="D14" t="s">
        <v>118</v>
      </c>
      <c r="E14" t="s">
        <v>119</v>
      </c>
      <c r="F14" t="s">
        <v>120</v>
      </c>
      <c r="G14" t="s">
        <v>121</v>
      </c>
      <c r="H14">
        <v>99999</v>
      </c>
      <c r="I14" t="s">
        <v>30</v>
      </c>
      <c r="J14" t="s">
        <v>60</v>
      </c>
      <c r="K14" t="s">
        <v>61</v>
      </c>
      <c r="N14" t="s">
        <v>122</v>
      </c>
      <c r="O14" t="s">
        <v>119</v>
      </c>
      <c r="P14" t="s">
        <v>120</v>
      </c>
      <c r="Q14" t="s">
        <v>121</v>
      </c>
      <c r="R14">
        <v>99999</v>
      </c>
      <c r="S14" t="s">
        <v>30</v>
      </c>
      <c r="U14" t="s">
        <v>54</v>
      </c>
      <c r="V14" t="s">
        <v>37</v>
      </c>
      <c r="W14" s="3">
        <v>18</v>
      </c>
      <c r="X14">
        <v>64</v>
      </c>
      <c r="Y14" s="3">
        <v>1152</v>
      </c>
      <c r="Z14" s="4">
        <v>118.65600000000001</v>
      </c>
    </row>
    <row r="15" spans="1:26">
      <c r="A15" s="8">
        <v>1390</v>
      </c>
      <c r="B15" s="6">
        <v>41974</v>
      </c>
      <c r="C15" s="8">
        <v>1</v>
      </c>
      <c r="D15" t="s">
        <v>118</v>
      </c>
      <c r="E15" t="s">
        <v>119</v>
      </c>
      <c r="F15" t="s">
        <v>120</v>
      </c>
      <c r="G15" t="s">
        <v>121</v>
      </c>
      <c r="H15">
        <v>99999</v>
      </c>
      <c r="I15" t="s">
        <v>30</v>
      </c>
      <c r="J15" t="s">
        <v>60</v>
      </c>
      <c r="K15" t="s">
        <v>61</v>
      </c>
      <c r="N15" t="s">
        <v>122</v>
      </c>
      <c r="O15" t="s">
        <v>119</v>
      </c>
      <c r="P15" t="s">
        <v>120</v>
      </c>
      <c r="Q15" t="s">
        <v>121</v>
      </c>
      <c r="R15">
        <v>99999</v>
      </c>
      <c r="S15" t="s">
        <v>30</v>
      </c>
      <c r="U15" t="s">
        <v>55</v>
      </c>
      <c r="V15" t="s">
        <v>37</v>
      </c>
      <c r="W15" s="3">
        <v>46</v>
      </c>
      <c r="X15">
        <v>82</v>
      </c>
      <c r="Y15" s="3">
        <v>3772</v>
      </c>
      <c r="Z15" s="4">
        <v>392.28800000000001</v>
      </c>
    </row>
    <row r="16" spans="1:26">
      <c r="A16" s="8">
        <v>1391</v>
      </c>
      <c r="B16" s="6">
        <v>41974</v>
      </c>
      <c r="C16" s="8">
        <v>1</v>
      </c>
      <c r="D16" t="s">
        <v>118</v>
      </c>
      <c r="E16" t="s">
        <v>119</v>
      </c>
      <c r="F16" t="s">
        <v>120</v>
      </c>
      <c r="G16" t="s">
        <v>121</v>
      </c>
      <c r="H16">
        <v>99999</v>
      </c>
      <c r="I16" t="s">
        <v>30</v>
      </c>
      <c r="J16" t="s">
        <v>60</v>
      </c>
      <c r="K16" t="s">
        <v>61</v>
      </c>
      <c r="N16" t="s">
        <v>122</v>
      </c>
      <c r="O16" t="s">
        <v>119</v>
      </c>
      <c r="P16" t="s">
        <v>120</v>
      </c>
      <c r="Q16" t="s">
        <v>121</v>
      </c>
      <c r="R16">
        <v>99999</v>
      </c>
      <c r="S16" t="s">
        <v>30</v>
      </c>
      <c r="U16" t="s">
        <v>103</v>
      </c>
      <c r="V16" t="s">
        <v>37</v>
      </c>
      <c r="W16" s="3">
        <v>2.99</v>
      </c>
      <c r="X16">
        <v>17</v>
      </c>
      <c r="Y16" s="3">
        <v>50.83</v>
      </c>
      <c r="Z16" s="4">
        <v>5.1338299999999997</v>
      </c>
    </row>
    <row r="17" spans="1:26">
      <c r="A17" s="8">
        <v>1397</v>
      </c>
      <c r="B17" s="6">
        <v>41981</v>
      </c>
      <c r="C17" s="8">
        <v>8</v>
      </c>
      <c r="D17" t="s">
        <v>56</v>
      </c>
      <c r="E17" t="s">
        <v>57</v>
      </c>
      <c r="F17" t="s">
        <v>58</v>
      </c>
      <c r="G17" t="s">
        <v>59</v>
      </c>
      <c r="H17">
        <v>99999</v>
      </c>
      <c r="I17" t="s">
        <v>30</v>
      </c>
      <c r="J17" t="s">
        <v>60</v>
      </c>
      <c r="K17" t="s">
        <v>61</v>
      </c>
      <c r="L17" s="2">
        <f t="shared" ref="L17:L27" si="1">B17+2</f>
        <v>41983</v>
      </c>
      <c r="M17" t="s">
        <v>33</v>
      </c>
      <c r="N17" t="s">
        <v>63</v>
      </c>
      <c r="O17" t="s">
        <v>57</v>
      </c>
      <c r="P17" t="s">
        <v>58</v>
      </c>
      <c r="Q17" t="s">
        <v>59</v>
      </c>
      <c r="R17">
        <v>99999</v>
      </c>
      <c r="S17" t="s">
        <v>30</v>
      </c>
      <c r="T17" t="s">
        <v>35</v>
      </c>
      <c r="U17" t="s">
        <v>88</v>
      </c>
      <c r="V17" t="s">
        <v>89</v>
      </c>
      <c r="W17" s="3">
        <v>40</v>
      </c>
      <c r="X17">
        <v>82</v>
      </c>
      <c r="Y17" s="3">
        <v>3280</v>
      </c>
      <c r="Z17" s="4">
        <v>318.16000000000003</v>
      </c>
    </row>
    <row r="18" spans="1:26">
      <c r="A18" s="8">
        <v>1398</v>
      </c>
      <c r="B18" s="6">
        <v>41981</v>
      </c>
      <c r="C18" s="8">
        <v>8</v>
      </c>
      <c r="D18" t="s">
        <v>56</v>
      </c>
      <c r="E18" t="s">
        <v>57</v>
      </c>
      <c r="F18" t="s">
        <v>58</v>
      </c>
      <c r="G18" t="s">
        <v>59</v>
      </c>
      <c r="H18">
        <v>99999</v>
      </c>
      <c r="I18" t="s">
        <v>30</v>
      </c>
      <c r="J18" t="s">
        <v>60</v>
      </c>
      <c r="K18" t="s">
        <v>61</v>
      </c>
      <c r="L18" s="2">
        <f t="shared" si="1"/>
        <v>41983</v>
      </c>
      <c r="M18" t="s">
        <v>33</v>
      </c>
      <c r="N18" t="s">
        <v>63</v>
      </c>
      <c r="O18" t="s">
        <v>57</v>
      </c>
      <c r="P18" t="s">
        <v>58</v>
      </c>
      <c r="Q18" t="s">
        <v>59</v>
      </c>
      <c r="R18">
        <v>99999</v>
      </c>
      <c r="S18" t="s">
        <v>30</v>
      </c>
      <c r="T18" t="s">
        <v>35</v>
      </c>
      <c r="U18" t="s">
        <v>64</v>
      </c>
      <c r="V18" t="s">
        <v>65</v>
      </c>
      <c r="W18" s="3">
        <v>9.1999999999999993</v>
      </c>
      <c r="X18">
        <v>47</v>
      </c>
      <c r="Y18" s="3">
        <v>432.4</v>
      </c>
      <c r="Z18" s="4">
        <v>41.510399999999997</v>
      </c>
    </row>
    <row r="19" spans="1:26">
      <c r="A19" s="8">
        <v>1399</v>
      </c>
      <c r="B19" s="6">
        <v>41998</v>
      </c>
      <c r="C19" s="8">
        <v>25</v>
      </c>
      <c r="D19" t="s">
        <v>135</v>
      </c>
      <c r="E19" t="s">
        <v>136</v>
      </c>
      <c r="F19" t="s">
        <v>99</v>
      </c>
      <c r="G19" t="s">
        <v>100</v>
      </c>
      <c r="H19">
        <v>99999</v>
      </c>
      <c r="I19" t="s">
        <v>30</v>
      </c>
      <c r="J19" t="s">
        <v>101</v>
      </c>
      <c r="K19" t="s">
        <v>45</v>
      </c>
      <c r="L19" s="2">
        <f t="shared" si="1"/>
        <v>42000</v>
      </c>
      <c r="M19" t="s">
        <v>46</v>
      </c>
      <c r="N19" t="s">
        <v>137</v>
      </c>
      <c r="O19" t="s">
        <v>136</v>
      </c>
      <c r="P19" t="s">
        <v>99</v>
      </c>
      <c r="Q19" t="s">
        <v>100</v>
      </c>
      <c r="R19">
        <v>99999</v>
      </c>
      <c r="S19" t="s">
        <v>30</v>
      </c>
      <c r="T19" t="s">
        <v>79</v>
      </c>
      <c r="U19" t="s">
        <v>138</v>
      </c>
      <c r="V19" t="s">
        <v>65</v>
      </c>
      <c r="W19" s="3">
        <v>10</v>
      </c>
      <c r="X19">
        <v>99</v>
      </c>
      <c r="Y19" s="3">
        <v>990</v>
      </c>
      <c r="Z19" s="4">
        <v>99</v>
      </c>
    </row>
    <row r="20" spans="1:26">
      <c r="A20" s="8">
        <v>1406</v>
      </c>
      <c r="B20" s="6">
        <v>41977</v>
      </c>
      <c r="C20" s="8">
        <v>4</v>
      </c>
      <c r="D20" t="s">
        <v>40</v>
      </c>
      <c r="E20" t="s">
        <v>41</v>
      </c>
      <c r="F20" t="s">
        <v>42</v>
      </c>
      <c r="G20" t="s">
        <v>43</v>
      </c>
      <c r="H20">
        <v>99999</v>
      </c>
      <c r="I20" t="s">
        <v>30</v>
      </c>
      <c r="J20" t="s">
        <v>44</v>
      </c>
      <c r="K20" t="s">
        <v>45</v>
      </c>
      <c r="L20" s="2">
        <f t="shared" si="1"/>
        <v>41979</v>
      </c>
      <c r="M20" t="s">
        <v>46</v>
      </c>
      <c r="N20" t="s">
        <v>47</v>
      </c>
      <c r="O20" t="s">
        <v>41</v>
      </c>
      <c r="P20" t="s">
        <v>42</v>
      </c>
      <c r="Q20" t="s">
        <v>43</v>
      </c>
      <c r="R20">
        <v>99999</v>
      </c>
      <c r="S20" t="s">
        <v>30</v>
      </c>
      <c r="T20" t="s">
        <v>48</v>
      </c>
      <c r="U20" t="s">
        <v>144</v>
      </c>
      <c r="V20" t="s">
        <v>110</v>
      </c>
      <c r="W20" s="3">
        <v>81</v>
      </c>
      <c r="X20">
        <v>62</v>
      </c>
      <c r="Y20" s="3">
        <v>1377</v>
      </c>
      <c r="Z20" s="4">
        <v>117.93600000000001</v>
      </c>
    </row>
    <row r="21" spans="1:26">
      <c r="A21" s="8">
        <v>1407</v>
      </c>
      <c r="B21" s="6">
        <v>41977</v>
      </c>
      <c r="C21" s="8">
        <v>4</v>
      </c>
      <c r="D21" t="s">
        <v>40</v>
      </c>
      <c r="E21" t="s">
        <v>41</v>
      </c>
      <c r="F21" t="s">
        <v>42</v>
      </c>
      <c r="G21" t="s">
        <v>43</v>
      </c>
      <c r="H21">
        <v>99999</v>
      </c>
      <c r="I21" t="s">
        <v>30</v>
      </c>
      <c r="J21" t="s">
        <v>44</v>
      </c>
      <c r="K21" t="s">
        <v>45</v>
      </c>
      <c r="L21" s="2">
        <f t="shared" si="1"/>
        <v>41979</v>
      </c>
      <c r="M21" t="s">
        <v>46</v>
      </c>
      <c r="N21" t="s">
        <v>47</v>
      </c>
      <c r="O21" t="s">
        <v>41</v>
      </c>
      <c r="P21" t="s">
        <v>42</v>
      </c>
      <c r="Q21" t="s">
        <v>43</v>
      </c>
      <c r="R21">
        <v>99999</v>
      </c>
      <c r="S21" t="s">
        <v>30</v>
      </c>
      <c r="T21" t="s">
        <v>48</v>
      </c>
      <c r="U21" t="s">
        <v>145</v>
      </c>
      <c r="V21" t="s">
        <v>146</v>
      </c>
      <c r="W21" s="3">
        <v>7</v>
      </c>
      <c r="X21">
        <v>91</v>
      </c>
      <c r="Y21" s="3">
        <v>196</v>
      </c>
      <c r="Z21" s="4">
        <v>13.72</v>
      </c>
    </row>
    <row r="22" spans="1:26">
      <c r="A22" s="8">
        <v>1409</v>
      </c>
      <c r="B22" s="6">
        <v>41981</v>
      </c>
      <c r="C22" s="8">
        <v>8</v>
      </c>
      <c r="D22" t="s">
        <v>56</v>
      </c>
      <c r="E22" t="s">
        <v>57</v>
      </c>
      <c r="F22" t="s">
        <v>58</v>
      </c>
      <c r="G22" t="s">
        <v>59</v>
      </c>
      <c r="H22">
        <v>99999</v>
      </c>
      <c r="I22" t="s">
        <v>30</v>
      </c>
      <c r="J22" t="s">
        <v>60</v>
      </c>
      <c r="K22" t="s">
        <v>61</v>
      </c>
      <c r="L22" s="2">
        <f t="shared" si="1"/>
        <v>41983</v>
      </c>
      <c r="M22" t="s">
        <v>62</v>
      </c>
      <c r="N22" t="s">
        <v>63</v>
      </c>
      <c r="O22" t="s">
        <v>57</v>
      </c>
      <c r="P22" t="s">
        <v>58</v>
      </c>
      <c r="Q22" t="s">
        <v>59</v>
      </c>
      <c r="R22">
        <v>99999</v>
      </c>
      <c r="S22" t="s">
        <v>30</v>
      </c>
      <c r="T22" t="s">
        <v>48</v>
      </c>
      <c r="U22" t="s">
        <v>133</v>
      </c>
      <c r="V22" t="s">
        <v>134</v>
      </c>
      <c r="W22" s="3">
        <v>34.799999999999997</v>
      </c>
      <c r="X22">
        <v>29</v>
      </c>
      <c r="Y22" s="3">
        <v>2923.2</v>
      </c>
      <c r="Z22" s="4">
        <v>300.846</v>
      </c>
    </row>
    <row r="23" spans="1:26">
      <c r="A23" s="8">
        <v>1410</v>
      </c>
      <c r="B23" s="6">
        <v>41977</v>
      </c>
      <c r="C23" s="8">
        <v>4</v>
      </c>
      <c r="D23" t="s">
        <v>40</v>
      </c>
      <c r="E23" t="s">
        <v>41</v>
      </c>
      <c r="F23" t="s">
        <v>42</v>
      </c>
      <c r="G23" t="s">
        <v>43</v>
      </c>
      <c r="H23">
        <v>99999</v>
      </c>
      <c r="I23" t="s">
        <v>30</v>
      </c>
      <c r="J23" t="s">
        <v>44</v>
      </c>
      <c r="K23" t="s">
        <v>45</v>
      </c>
      <c r="L23" s="2">
        <f t="shared" si="1"/>
        <v>41979</v>
      </c>
      <c r="M23" t="s">
        <v>62</v>
      </c>
      <c r="N23" t="s">
        <v>47</v>
      </c>
      <c r="O23" t="s">
        <v>41</v>
      </c>
      <c r="P23" t="s">
        <v>42</v>
      </c>
      <c r="Q23" t="s">
        <v>43</v>
      </c>
      <c r="R23">
        <v>99999</v>
      </c>
      <c r="S23" t="s">
        <v>30</v>
      </c>
      <c r="T23" t="s">
        <v>35</v>
      </c>
      <c r="W23" s="3"/>
      <c r="Y23" s="3">
        <v>0</v>
      </c>
      <c r="Z23" s="4">
        <v>9</v>
      </c>
    </row>
    <row r="24" spans="1:26">
      <c r="A24" s="8">
        <v>1412</v>
      </c>
      <c r="B24" s="6">
        <v>41976</v>
      </c>
      <c r="C24" s="8">
        <v>3</v>
      </c>
      <c r="D24" t="s">
        <v>74</v>
      </c>
      <c r="E24" t="s">
        <v>75</v>
      </c>
      <c r="F24" t="s">
        <v>76</v>
      </c>
      <c r="G24" t="s">
        <v>77</v>
      </c>
      <c r="H24">
        <v>99999</v>
      </c>
      <c r="I24" t="s">
        <v>30</v>
      </c>
      <c r="J24" t="s">
        <v>31</v>
      </c>
      <c r="K24" t="s">
        <v>32</v>
      </c>
      <c r="L24" s="2">
        <f t="shared" si="1"/>
        <v>41978</v>
      </c>
      <c r="M24" t="s">
        <v>33</v>
      </c>
      <c r="N24" t="s">
        <v>78</v>
      </c>
      <c r="O24" t="s">
        <v>75</v>
      </c>
      <c r="P24" t="s">
        <v>76</v>
      </c>
      <c r="Q24" t="s">
        <v>77</v>
      </c>
      <c r="R24">
        <v>99999</v>
      </c>
      <c r="S24" t="s">
        <v>30</v>
      </c>
      <c r="T24" t="s">
        <v>79</v>
      </c>
      <c r="U24" t="s">
        <v>147</v>
      </c>
      <c r="V24" t="s">
        <v>112</v>
      </c>
      <c r="W24" s="3">
        <v>10</v>
      </c>
      <c r="X24">
        <v>49</v>
      </c>
      <c r="Y24" s="3">
        <v>280</v>
      </c>
      <c r="Z24" s="4">
        <v>90.25</v>
      </c>
    </row>
    <row r="25" spans="1:26">
      <c r="A25" s="8">
        <v>1413</v>
      </c>
      <c r="B25" s="6">
        <v>41976</v>
      </c>
      <c r="C25" s="8">
        <v>3</v>
      </c>
      <c r="D25" t="s">
        <v>74</v>
      </c>
      <c r="E25" t="s">
        <v>75</v>
      </c>
      <c r="F25" t="s">
        <v>76</v>
      </c>
      <c r="G25" t="s">
        <v>77</v>
      </c>
      <c r="H25">
        <v>99999</v>
      </c>
      <c r="I25" t="s">
        <v>30</v>
      </c>
      <c r="J25" t="s">
        <v>31</v>
      </c>
      <c r="K25" t="s">
        <v>32</v>
      </c>
      <c r="L25" s="2">
        <f t="shared" si="1"/>
        <v>41978</v>
      </c>
      <c r="M25" t="s">
        <v>33</v>
      </c>
      <c r="N25" t="s">
        <v>78</v>
      </c>
      <c r="O25" t="s">
        <v>75</v>
      </c>
      <c r="P25" t="s">
        <v>76</v>
      </c>
      <c r="Q25" t="s">
        <v>77</v>
      </c>
      <c r="R25">
        <v>99999</v>
      </c>
      <c r="S25" t="s">
        <v>30</v>
      </c>
      <c r="T25" t="s">
        <v>79</v>
      </c>
      <c r="U25" t="s">
        <v>88</v>
      </c>
      <c r="V25" t="s">
        <v>89</v>
      </c>
      <c r="W25" s="3">
        <v>40</v>
      </c>
      <c r="X25">
        <v>29</v>
      </c>
      <c r="Y25" s="3">
        <v>480</v>
      </c>
      <c r="Z25" s="4">
        <v>239.12</v>
      </c>
    </row>
    <row r="26" spans="1:26">
      <c r="A26" s="8">
        <v>1416</v>
      </c>
      <c r="B26" s="6">
        <v>41981</v>
      </c>
      <c r="C26" s="8">
        <v>8</v>
      </c>
      <c r="D26" t="s">
        <v>56</v>
      </c>
      <c r="E26" t="s">
        <v>57</v>
      </c>
      <c r="F26" t="s">
        <v>58</v>
      </c>
      <c r="G26" t="s">
        <v>59</v>
      </c>
      <c r="H26">
        <v>99999</v>
      </c>
      <c r="I26" t="s">
        <v>30</v>
      </c>
      <c r="J26" t="s">
        <v>60</v>
      </c>
      <c r="K26" t="s">
        <v>61</v>
      </c>
      <c r="L26" s="2">
        <f t="shared" si="1"/>
        <v>41983</v>
      </c>
      <c r="M26" t="s">
        <v>62</v>
      </c>
      <c r="N26" t="s">
        <v>63</v>
      </c>
      <c r="O26" t="s">
        <v>57</v>
      </c>
      <c r="P26" t="s">
        <v>58</v>
      </c>
      <c r="Q26" t="s">
        <v>59</v>
      </c>
      <c r="R26">
        <v>99999</v>
      </c>
      <c r="S26" t="s">
        <v>30</v>
      </c>
      <c r="T26" t="s">
        <v>35</v>
      </c>
      <c r="W26" s="3"/>
      <c r="Y26" s="3">
        <v>0</v>
      </c>
      <c r="Z26" s="4">
        <v>34</v>
      </c>
    </row>
    <row r="27" spans="1:26">
      <c r="A27" s="8">
        <v>1417</v>
      </c>
      <c r="B27" s="6">
        <v>41983</v>
      </c>
      <c r="C27" s="8">
        <v>10</v>
      </c>
      <c r="D27" t="s">
        <v>97</v>
      </c>
      <c r="E27" t="s">
        <v>98</v>
      </c>
      <c r="F27" t="s">
        <v>99</v>
      </c>
      <c r="G27" t="s">
        <v>100</v>
      </c>
      <c r="H27">
        <v>99999</v>
      </c>
      <c r="I27" t="s">
        <v>30</v>
      </c>
      <c r="J27" t="s">
        <v>101</v>
      </c>
      <c r="K27" t="s">
        <v>45</v>
      </c>
      <c r="L27" s="2">
        <f t="shared" si="1"/>
        <v>41985</v>
      </c>
      <c r="M27" t="s">
        <v>33</v>
      </c>
      <c r="N27" t="s">
        <v>102</v>
      </c>
      <c r="O27" t="s">
        <v>98</v>
      </c>
      <c r="P27" t="s">
        <v>99</v>
      </c>
      <c r="Q27" t="s">
        <v>100</v>
      </c>
      <c r="R27">
        <v>99999</v>
      </c>
      <c r="S27" t="s">
        <v>30</v>
      </c>
      <c r="T27" t="s">
        <v>48</v>
      </c>
      <c r="U27" t="s">
        <v>148</v>
      </c>
      <c r="V27" t="s">
        <v>39</v>
      </c>
      <c r="W27" s="3">
        <v>10</v>
      </c>
      <c r="X27">
        <v>81</v>
      </c>
      <c r="Y27" s="3">
        <v>450</v>
      </c>
      <c r="Z27" s="4">
        <v>62.83</v>
      </c>
    </row>
    <row r="28" spans="1:26">
      <c r="A28" s="8">
        <v>1418</v>
      </c>
      <c r="B28" s="6">
        <v>41980</v>
      </c>
      <c r="C28" s="8">
        <v>7</v>
      </c>
      <c r="D28" t="s">
        <v>104</v>
      </c>
      <c r="E28" t="s">
        <v>105</v>
      </c>
      <c r="F28" t="s">
        <v>106</v>
      </c>
      <c r="G28" t="s">
        <v>107</v>
      </c>
      <c r="H28">
        <v>99999</v>
      </c>
      <c r="I28" t="s">
        <v>30</v>
      </c>
      <c r="J28" t="s">
        <v>60</v>
      </c>
      <c r="K28" t="s">
        <v>61</v>
      </c>
      <c r="N28" t="s">
        <v>108</v>
      </c>
      <c r="O28" t="s">
        <v>105</v>
      </c>
      <c r="P28" t="s">
        <v>106</v>
      </c>
      <c r="Q28" t="s">
        <v>107</v>
      </c>
      <c r="R28">
        <v>99999</v>
      </c>
      <c r="S28" t="s">
        <v>30</v>
      </c>
      <c r="W28" s="3"/>
      <c r="Y28" s="3">
        <v>0</v>
      </c>
      <c r="Z28" s="4">
        <v>33</v>
      </c>
    </row>
    <row r="29" spans="1:26">
      <c r="A29" s="8">
        <v>1419</v>
      </c>
      <c r="B29" s="6">
        <v>41983</v>
      </c>
      <c r="C29" s="8">
        <v>10</v>
      </c>
      <c r="D29" t="s">
        <v>97</v>
      </c>
      <c r="E29" t="s">
        <v>98</v>
      </c>
      <c r="F29" t="s">
        <v>99</v>
      </c>
      <c r="G29" t="s">
        <v>100</v>
      </c>
      <c r="H29">
        <v>99999</v>
      </c>
      <c r="I29" t="s">
        <v>30</v>
      </c>
      <c r="J29" t="s">
        <v>101</v>
      </c>
      <c r="K29" t="s">
        <v>45</v>
      </c>
      <c r="M29" t="s">
        <v>46</v>
      </c>
      <c r="N29" t="s">
        <v>102</v>
      </c>
      <c r="O29" t="s">
        <v>98</v>
      </c>
      <c r="P29" t="s">
        <v>99</v>
      </c>
      <c r="Q29" t="s">
        <v>100</v>
      </c>
      <c r="R29">
        <v>99999</v>
      </c>
      <c r="S29" t="s">
        <v>30</v>
      </c>
      <c r="U29" t="s">
        <v>38</v>
      </c>
      <c r="V29" t="s">
        <v>39</v>
      </c>
      <c r="W29" s="3">
        <v>3.5</v>
      </c>
      <c r="X29">
        <v>96</v>
      </c>
      <c r="Y29" s="3">
        <v>301</v>
      </c>
      <c r="Z29" s="4">
        <v>21.315000000000001</v>
      </c>
    </row>
    <row r="30" spans="1:26">
      <c r="A30" s="8">
        <v>1421</v>
      </c>
      <c r="B30" s="6">
        <v>41974</v>
      </c>
      <c r="C30" s="8">
        <v>1</v>
      </c>
      <c r="D30" t="s">
        <v>118</v>
      </c>
      <c r="E30" t="s">
        <v>119</v>
      </c>
      <c r="F30" t="s">
        <v>120</v>
      </c>
      <c r="G30" t="s">
        <v>121</v>
      </c>
      <c r="H30">
        <v>99999</v>
      </c>
      <c r="I30" t="s">
        <v>30</v>
      </c>
      <c r="J30" t="s">
        <v>60</v>
      </c>
      <c r="K30" t="s">
        <v>61</v>
      </c>
      <c r="M30" t="s">
        <v>62</v>
      </c>
      <c r="N30" t="s">
        <v>122</v>
      </c>
      <c r="O30" t="s">
        <v>119</v>
      </c>
      <c r="P30" t="s">
        <v>120</v>
      </c>
      <c r="Q30" t="s">
        <v>121</v>
      </c>
      <c r="R30">
        <v>99999</v>
      </c>
      <c r="S30" t="s">
        <v>30</v>
      </c>
      <c r="U30" t="s">
        <v>123</v>
      </c>
      <c r="V30" t="s">
        <v>124</v>
      </c>
      <c r="W30" s="3">
        <v>18.399999999999999</v>
      </c>
      <c r="X30">
        <v>88</v>
      </c>
      <c r="Y30" s="3">
        <v>680.8</v>
      </c>
      <c r="Z30" s="4">
        <v>148.13839999999999</v>
      </c>
    </row>
    <row r="31" spans="1:26">
      <c r="A31" s="8">
        <v>1425</v>
      </c>
      <c r="B31" s="6">
        <v>41981</v>
      </c>
      <c r="C31" s="8">
        <v>8</v>
      </c>
      <c r="D31" t="s">
        <v>56</v>
      </c>
      <c r="E31" t="s">
        <v>57</v>
      </c>
      <c r="F31" t="s">
        <v>58</v>
      </c>
      <c r="G31" t="s">
        <v>59</v>
      </c>
      <c r="H31">
        <v>99999</v>
      </c>
      <c r="I31" t="s">
        <v>30</v>
      </c>
      <c r="J31" t="s">
        <v>60</v>
      </c>
      <c r="K31" t="s">
        <v>61</v>
      </c>
      <c r="L31" s="2">
        <f>B31+2</f>
        <v>41983</v>
      </c>
      <c r="M31" t="s">
        <v>33</v>
      </c>
      <c r="N31" t="s">
        <v>63</v>
      </c>
      <c r="O31" t="s">
        <v>57</v>
      </c>
      <c r="P31" t="s">
        <v>58</v>
      </c>
      <c r="Q31" t="s">
        <v>59</v>
      </c>
      <c r="R31">
        <v>99999</v>
      </c>
      <c r="S31" t="s">
        <v>30</v>
      </c>
      <c r="T31" t="s">
        <v>35</v>
      </c>
      <c r="U31" t="s">
        <v>72</v>
      </c>
      <c r="V31" t="s">
        <v>73</v>
      </c>
      <c r="W31" s="3">
        <v>12.75</v>
      </c>
      <c r="X31">
        <v>67</v>
      </c>
      <c r="Y31" s="3">
        <v>1185.75</v>
      </c>
      <c r="Z31" s="4">
        <v>82.875</v>
      </c>
    </row>
    <row r="32" spans="1:26">
      <c r="A32" s="8">
        <v>1426</v>
      </c>
      <c r="B32" s="6">
        <v>41998</v>
      </c>
      <c r="C32" s="8">
        <v>25</v>
      </c>
      <c r="D32" t="s">
        <v>135</v>
      </c>
      <c r="E32" t="s">
        <v>136</v>
      </c>
      <c r="F32" t="s">
        <v>99</v>
      </c>
      <c r="G32" t="s">
        <v>100</v>
      </c>
      <c r="H32">
        <v>99999</v>
      </c>
      <c r="I32" t="s">
        <v>30</v>
      </c>
      <c r="J32" t="s">
        <v>101</v>
      </c>
      <c r="K32" t="s">
        <v>45</v>
      </c>
      <c r="L32" s="2">
        <f>B32+2</f>
        <v>42000</v>
      </c>
      <c r="M32" t="s">
        <v>46</v>
      </c>
      <c r="N32" t="s">
        <v>137</v>
      </c>
      <c r="O32" t="s">
        <v>136</v>
      </c>
      <c r="P32" t="s">
        <v>99</v>
      </c>
      <c r="Q32" t="s">
        <v>100</v>
      </c>
      <c r="R32">
        <v>99999</v>
      </c>
      <c r="S32" t="s">
        <v>30</v>
      </c>
      <c r="T32" t="s">
        <v>79</v>
      </c>
      <c r="U32" t="s">
        <v>111</v>
      </c>
      <c r="V32" t="s">
        <v>112</v>
      </c>
      <c r="W32" s="3">
        <v>22</v>
      </c>
      <c r="X32">
        <v>74</v>
      </c>
      <c r="Y32" s="3">
        <v>1166</v>
      </c>
      <c r="Z32" s="4">
        <v>84.48</v>
      </c>
    </row>
    <row r="33" spans="1:26">
      <c r="A33" s="8">
        <v>1431</v>
      </c>
      <c r="B33" s="6">
        <v>41977</v>
      </c>
      <c r="C33" s="8">
        <v>4</v>
      </c>
      <c r="D33" t="s">
        <v>40</v>
      </c>
      <c r="E33" t="s">
        <v>41</v>
      </c>
      <c r="F33" t="s">
        <v>42</v>
      </c>
      <c r="G33" t="s">
        <v>43</v>
      </c>
      <c r="H33">
        <v>99999</v>
      </c>
      <c r="I33" t="s">
        <v>30</v>
      </c>
      <c r="J33" t="s">
        <v>44</v>
      </c>
      <c r="K33" t="s">
        <v>45</v>
      </c>
      <c r="N33" t="s">
        <v>47</v>
      </c>
      <c r="O33" t="s">
        <v>41</v>
      </c>
      <c r="P33" t="s">
        <v>42</v>
      </c>
      <c r="Q33" t="s">
        <v>43</v>
      </c>
      <c r="R33">
        <v>99999</v>
      </c>
      <c r="S33" t="s">
        <v>30</v>
      </c>
      <c r="U33" t="s">
        <v>151</v>
      </c>
      <c r="V33" t="s">
        <v>132</v>
      </c>
      <c r="W33" s="3">
        <v>38</v>
      </c>
      <c r="X33">
        <v>33</v>
      </c>
      <c r="Y33" s="3">
        <v>2812</v>
      </c>
      <c r="Z33" s="4">
        <v>175.02799999999999</v>
      </c>
    </row>
    <row r="34" spans="1:26">
      <c r="A34" s="8">
        <v>1432</v>
      </c>
      <c r="B34" s="6">
        <v>41976</v>
      </c>
      <c r="C34" s="8">
        <v>3</v>
      </c>
      <c r="D34" t="s">
        <v>74</v>
      </c>
      <c r="E34" t="s">
        <v>75</v>
      </c>
      <c r="F34" t="s">
        <v>76</v>
      </c>
      <c r="G34" t="s">
        <v>77</v>
      </c>
      <c r="H34">
        <v>99999</v>
      </c>
      <c r="I34" t="s">
        <v>30</v>
      </c>
      <c r="J34" t="s">
        <v>31</v>
      </c>
      <c r="K34" t="s">
        <v>32</v>
      </c>
      <c r="N34" t="s">
        <v>78</v>
      </c>
      <c r="O34" t="s">
        <v>75</v>
      </c>
      <c r="P34" t="s">
        <v>76</v>
      </c>
      <c r="Q34" t="s">
        <v>77</v>
      </c>
      <c r="R34">
        <v>99999</v>
      </c>
      <c r="S34" t="s">
        <v>30</v>
      </c>
      <c r="U34" t="s">
        <v>103</v>
      </c>
      <c r="V34" t="s">
        <v>37</v>
      </c>
      <c r="W34" s="3">
        <v>2.99</v>
      </c>
      <c r="X34">
        <v>12</v>
      </c>
      <c r="Y34" s="3">
        <v>296.01</v>
      </c>
      <c r="Z34" s="4">
        <v>17.042999999999999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D0D3C-0B63-4ED6-B912-A1C9D7D3C94E}">
  <dimension ref="A1:AN151"/>
  <sheetViews>
    <sheetView workbookViewId="0">
      <selection activeCell="D1" sqref="D1"/>
    </sheetView>
  </sheetViews>
  <sheetFormatPr defaultRowHeight="15"/>
  <cols>
    <col min="1" max="1" width="19.5703125" style="36" customWidth="1"/>
    <col min="2" max="2" width="16.5703125" bestFit="1" customWidth="1"/>
    <col min="3" max="3" width="11.28515625" bestFit="1" customWidth="1"/>
    <col min="4" max="4" width="23.7109375" bestFit="1" customWidth="1"/>
    <col min="5" max="5" width="11.28515625" bestFit="1" customWidth="1"/>
    <col min="6" max="8" width="15.5703125" bestFit="1" customWidth="1"/>
    <col min="9" max="9" width="6.5703125" bestFit="1" customWidth="1"/>
    <col min="10" max="10" width="21.7109375" bestFit="1" customWidth="1"/>
    <col min="11" max="11" width="20.28515625" bestFit="1" customWidth="1"/>
    <col min="12" max="12" width="17.7109375" bestFit="1" customWidth="1"/>
    <col min="13" max="13" width="15.5703125" bestFit="1" customWidth="1"/>
    <col min="14" max="14" width="8" bestFit="1" customWidth="1"/>
    <col min="15" max="15" width="16.5703125" bestFit="1" customWidth="1"/>
    <col min="16" max="16" width="15.42578125" bestFit="1" customWidth="1"/>
    <col min="17" max="17" width="15.5703125" bestFit="1" customWidth="1"/>
    <col min="18" max="18" width="15.42578125" bestFit="1" customWidth="1"/>
    <col min="19" max="19" width="11.28515625" bestFit="1" customWidth="1"/>
    <col min="20" max="20" width="9.42578125" bestFit="1" customWidth="1"/>
    <col min="21" max="21" width="15.5703125" bestFit="1" customWidth="1"/>
    <col min="22" max="22" width="15.42578125" bestFit="1" customWidth="1"/>
    <col min="23" max="23" width="23.7109375" bestFit="1" customWidth="1"/>
    <col min="24" max="24" width="11.28515625" bestFit="1" customWidth="1"/>
    <col min="25" max="25" width="15.140625" bestFit="1" customWidth="1"/>
    <col min="26" max="26" width="15.5703125" bestFit="1" customWidth="1"/>
    <col min="27" max="27" width="12.5703125" bestFit="1" customWidth="1"/>
    <col min="28" max="28" width="15.140625" bestFit="1" customWidth="1"/>
    <col min="29" max="29" width="9.42578125" bestFit="1" customWidth="1"/>
    <col min="30" max="30" width="20.28515625" bestFit="1" customWidth="1"/>
    <col min="31" max="31" width="11.28515625" bestFit="1" customWidth="1"/>
    <col min="32" max="32" width="21.7109375" bestFit="1" customWidth="1"/>
    <col min="33" max="33" width="15.140625" bestFit="1" customWidth="1"/>
    <col min="34" max="34" width="15.42578125" bestFit="1" customWidth="1"/>
    <col min="35" max="35" width="19" bestFit="1" customWidth="1"/>
    <col min="37" max="37" width="17.5703125" bestFit="1" customWidth="1"/>
    <col min="38" max="38" width="19.42578125" bestFit="1" customWidth="1"/>
    <col min="39" max="39" width="21" bestFit="1" customWidth="1"/>
    <col min="40" max="40" width="15.5703125" bestFit="1" customWidth="1"/>
    <col min="41" max="41" width="5" bestFit="1" customWidth="1"/>
    <col min="42" max="42" width="11.28515625" bestFit="1" customWidth="1"/>
    <col min="43" max="43" width="19.28515625" bestFit="1" customWidth="1"/>
    <col min="44" max="44" width="15.140625" bestFit="1" customWidth="1"/>
    <col min="45" max="45" width="19.28515625" bestFit="1" customWidth="1"/>
    <col min="46" max="51" width="7.85546875" bestFit="1" customWidth="1"/>
    <col min="52" max="52" width="11.28515625" bestFit="1" customWidth="1"/>
    <col min="53" max="54" width="17.7109375" bestFit="1" customWidth="1"/>
    <col min="55" max="55" width="15.7109375" bestFit="1" customWidth="1"/>
    <col min="56" max="56" width="15.42578125" bestFit="1" customWidth="1"/>
  </cols>
  <sheetData>
    <row r="1" spans="2:23" ht="18.75">
      <c r="B1" s="38">
        <v>1</v>
      </c>
      <c r="C1" s="38" t="s">
        <v>188</v>
      </c>
      <c r="O1" s="44" t="s">
        <v>210</v>
      </c>
      <c r="P1" s="43"/>
    </row>
    <row r="2" spans="2:23" ht="18.75">
      <c r="B2" s="49" t="s">
        <v>209</v>
      </c>
      <c r="F2" s="46" t="s">
        <v>207</v>
      </c>
      <c r="I2" s="45" t="s">
        <v>206</v>
      </c>
      <c r="L2" s="47" t="s">
        <v>205</v>
      </c>
      <c r="O2" s="32" t="s">
        <v>5</v>
      </c>
      <c r="P2" t="s">
        <v>158</v>
      </c>
    </row>
    <row r="3" spans="2:23">
      <c r="B3" s="32" t="s">
        <v>173</v>
      </c>
      <c r="C3" s="32" t="s">
        <v>3</v>
      </c>
      <c r="D3" t="s">
        <v>158</v>
      </c>
      <c r="F3" s="32" t="s">
        <v>10</v>
      </c>
      <c r="G3" s="25" t="s">
        <v>158</v>
      </c>
      <c r="I3" s="32" t="s">
        <v>9</v>
      </c>
      <c r="J3" s="25" t="s">
        <v>158</v>
      </c>
      <c r="L3" s="32" t="s">
        <v>9</v>
      </c>
      <c r="M3" t="s">
        <v>168</v>
      </c>
      <c r="O3" t="s">
        <v>106</v>
      </c>
      <c r="P3" s="33">
        <v>2944</v>
      </c>
    </row>
    <row r="4" spans="2:23">
      <c r="B4" t="s">
        <v>180</v>
      </c>
      <c r="D4" s="25"/>
      <c r="F4" t="s">
        <v>61</v>
      </c>
      <c r="G4" s="25">
        <v>27652.080000000002</v>
      </c>
      <c r="I4" t="s">
        <v>60</v>
      </c>
      <c r="J4" s="25">
        <v>17137.580000000002</v>
      </c>
      <c r="L4" t="s">
        <v>44</v>
      </c>
      <c r="M4" s="33">
        <v>11143</v>
      </c>
      <c r="O4" t="s">
        <v>99</v>
      </c>
      <c r="P4" s="33">
        <v>7421.07</v>
      </c>
      <c r="R4" t="s">
        <v>159</v>
      </c>
      <c r="U4" t="s">
        <v>167</v>
      </c>
      <c r="W4" t="s">
        <v>163</v>
      </c>
    </row>
    <row r="5" spans="2:23">
      <c r="C5" t="s">
        <v>40</v>
      </c>
      <c r="D5" s="25">
        <v>12368.9</v>
      </c>
      <c r="F5" t="s">
        <v>45</v>
      </c>
      <c r="G5" s="25">
        <v>19789.97</v>
      </c>
      <c r="I5" t="s">
        <v>44</v>
      </c>
      <c r="J5" s="25">
        <v>12368.9</v>
      </c>
      <c r="L5" t="s">
        <v>94</v>
      </c>
      <c r="M5" s="33">
        <v>16827</v>
      </c>
      <c r="O5" t="s">
        <v>68</v>
      </c>
      <c r="P5" s="33">
        <v>979.25</v>
      </c>
      <c r="R5" s="25">
        <f>SUM(G4:G7)</f>
        <v>70244.08</v>
      </c>
      <c r="U5" s="35">
        <f>(R5/R11)</f>
        <v>1080.6781538461539</v>
      </c>
      <c r="W5" s="25">
        <f>R5-R14</f>
        <v>62665.234520000005</v>
      </c>
    </row>
    <row r="6" spans="2:23">
      <c r="C6" t="s">
        <v>113</v>
      </c>
      <c r="D6" s="25">
        <v>3458.02</v>
      </c>
      <c r="F6" t="s">
        <v>95</v>
      </c>
      <c r="G6" s="25">
        <v>12065.27</v>
      </c>
      <c r="I6" t="s">
        <v>94</v>
      </c>
      <c r="J6" s="25">
        <v>12065.27</v>
      </c>
      <c r="L6" t="s">
        <v>70</v>
      </c>
      <c r="M6" s="33">
        <v>5619</v>
      </c>
      <c r="O6" t="s">
        <v>28</v>
      </c>
      <c r="P6" s="33">
        <v>5028</v>
      </c>
      <c r="U6" t="s">
        <v>171</v>
      </c>
    </row>
    <row r="7" spans="2:23">
      <c r="C7" t="s">
        <v>135</v>
      </c>
      <c r="D7" s="25">
        <v>2156</v>
      </c>
      <c r="F7" t="s">
        <v>32</v>
      </c>
      <c r="G7" s="25">
        <v>10736.76</v>
      </c>
      <c r="I7" t="s">
        <v>86</v>
      </c>
      <c r="J7" s="25">
        <v>10514.5</v>
      </c>
      <c r="L7" t="s">
        <v>101</v>
      </c>
      <c r="M7" s="33">
        <v>11198</v>
      </c>
      <c r="O7" t="s">
        <v>76</v>
      </c>
      <c r="P7" s="33">
        <v>1914.86</v>
      </c>
      <c r="R7" t="s">
        <v>166</v>
      </c>
      <c r="U7" s="20">
        <f>SUM(Table2[Unit Price])</f>
        <v>1493.76</v>
      </c>
      <c r="W7" t="s">
        <v>160</v>
      </c>
    </row>
    <row r="8" spans="2:23">
      <c r="B8" t="s">
        <v>176</v>
      </c>
      <c r="D8" s="25"/>
      <c r="F8" t="s">
        <v>157</v>
      </c>
      <c r="G8" s="25">
        <v>70244.08</v>
      </c>
      <c r="I8" t="s">
        <v>101</v>
      </c>
      <c r="J8" s="25">
        <v>7421.07</v>
      </c>
      <c r="L8" t="s">
        <v>31</v>
      </c>
      <c r="M8" s="33">
        <v>13932</v>
      </c>
      <c r="O8" t="s">
        <v>92</v>
      </c>
      <c r="P8" s="33">
        <v>3494.7</v>
      </c>
      <c r="R8" s="8">
        <f>SUM(L30:L43)</f>
        <v>4021</v>
      </c>
      <c r="W8">
        <f>SUM(F148:F150)</f>
        <v>65</v>
      </c>
    </row>
    <row r="9" spans="2:23">
      <c r="C9" t="s">
        <v>51</v>
      </c>
      <c r="D9" s="25">
        <v>4552</v>
      </c>
      <c r="I9" t="s">
        <v>31</v>
      </c>
      <c r="J9" s="25">
        <v>6942.86</v>
      </c>
      <c r="L9" t="s">
        <v>86</v>
      </c>
      <c r="M9" s="33">
        <v>9876</v>
      </c>
      <c r="O9" t="s">
        <v>115</v>
      </c>
      <c r="P9" s="33">
        <v>8570.57</v>
      </c>
    </row>
    <row r="10" spans="2:23" ht="18.75">
      <c r="C10" t="s">
        <v>139</v>
      </c>
      <c r="D10" s="25">
        <v>5112.55</v>
      </c>
      <c r="F10" s="48" t="s">
        <v>208</v>
      </c>
      <c r="I10" t="s">
        <v>129</v>
      </c>
      <c r="J10" s="25">
        <v>2814.65</v>
      </c>
      <c r="L10" t="s">
        <v>60</v>
      </c>
      <c r="M10" s="33">
        <v>18193</v>
      </c>
      <c r="O10" t="s">
        <v>84</v>
      </c>
      <c r="P10" s="33">
        <v>10514.5</v>
      </c>
      <c r="R10" t="s">
        <v>165</v>
      </c>
      <c r="U10" t="s">
        <v>170</v>
      </c>
      <c r="W10" t="s">
        <v>186</v>
      </c>
    </row>
    <row r="11" spans="2:23">
      <c r="B11" t="s">
        <v>177</v>
      </c>
      <c r="D11" s="25"/>
      <c r="F11" s="32" t="s">
        <v>204</v>
      </c>
      <c r="G11" s="25" t="s">
        <v>158</v>
      </c>
      <c r="I11" t="s">
        <v>70</v>
      </c>
      <c r="J11" s="25">
        <v>979.25</v>
      </c>
      <c r="L11" t="s">
        <v>129</v>
      </c>
      <c r="M11" s="33">
        <v>4212</v>
      </c>
      <c r="O11" t="s">
        <v>42</v>
      </c>
      <c r="P11" s="33">
        <v>12368.9</v>
      </c>
      <c r="R11">
        <f>SUM(F148:F150)</f>
        <v>65</v>
      </c>
      <c r="U11" s="20">
        <f>R5/R8</f>
        <v>17.469306142750561</v>
      </c>
      <c r="W11">
        <f>R11/W8</f>
        <v>1</v>
      </c>
    </row>
    <row r="12" spans="2:23">
      <c r="C12" t="s">
        <v>118</v>
      </c>
      <c r="D12" s="25">
        <v>5655.63</v>
      </c>
      <c r="F12" t="s">
        <v>202</v>
      </c>
      <c r="G12" s="25">
        <v>36481.599999999999</v>
      </c>
      <c r="I12" t="s">
        <v>157</v>
      </c>
      <c r="J12" s="25">
        <v>70244.08</v>
      </c>
      <c r="L12" t="s">
        <v>157</v>
      </c>
      <c r="M12" s="33">
        <v>91000</v>
      </c>
      <c r="O12" t="s">
        <v>58</v>
      </c>
      <c r="P12" s="33">
        <v>8537.9500000000007</v>
      </c>
    </row>
    <row r="13" spans="2:23">
      <c r="C13" t="s">
        <v>66</v>
      </c>
      <c r="D13" s="25">
        <v>979.25</v>
      </c>
      <c r="F13" t="s">
        <v>203</v>
      </c>
      <c r="G13" s="25">
        <v>33762.480000000003</v>
      </c>
      <c r="O13" t="s">
        <v>127</v>
      </c>
      <c r="P13" s="33">
        <v>2814.65</v>
      </c>
      <c r="R13" t="s">
        <v>164</v>
      </c>
      <c r="U13" t="s">
        <v>175</v>
      </c>
      <c r="W13" s="25" t="s">
        <v>217</v>
      </c>
    </row>
    <row r="14" spans="2:23">
      <c r="C14" t="s">
        <v>56</v>
      </c>
      <c r="D14" s="25">
        <v>8537.9500000000007</v>
      </c>
      <c r="F14" t="s">
        <v>157</v>
      </c>
      <c r="G14" s="25">
        <v>70244.08</v>
      </c>
      <c r="O14" t="s">
        <v>120</v>
      </c>
      <c r="P14" s="33">
        <v>5655.63</v>
      </c>
      <c r="R14" s="25">
        <f>SUM(Table2[Shipping Fee])</f>
        <v>7578.845479999999</v>
      </c>
      <c r="U14" s="35">
        <f>R17/R11</f>
        <v>2.3076923076923075</v>
      </c>
      <c r="W14" s="25">
        <f>R5/W8</f>
        <v>1080.6781538461539</v>
      </c>
    </row>
    <row r="15" spans="2:23">
      <c r="B15" t="s">
        <v>178</v>
      </c>
      <c r="D15" s="25"/>
      <c r="O15" t="s">
        <v>157</v>
      </c>
      <c r="P15" s="33">
        <v>70244.08</v>
      </c>
    </row>
    <row r="16" spans="2:23">
      <c r="C16" t="s">
        <v>26</v>
      </c>
      <c r="D16" s="25">
        <v>476</v>
      </c>
      <c r="R16" t="s">
        <v>216</v>
      </c>
      <c r="U16" t="s">
        <v>219</v>
      </c>
    </row>
    <row r="17" spans="2:40">
      <c r="C17" t="s">
        <v>82</v>
      </c>
      <c r="D17" s="25">
        <v>10514.5</v>
      </c>
      <c r="R17">
        <f>SUM(Table2[Delivery Time])</f>
        <v>150</v>
      </c>
      <c r="U17" s="25">
        <f>R5/W8</f>
        <v>1080.6781538461539</v>
      </c>
    </row>
    <row r="18" spans="2:40">
      <c r="B18" t="s">
        <v>179</v>
      </c>
      <c r="D18" s="25"/>
    </row>
    <row r="19" spans="2:40">
      <c r="C19" t="s">
        <v>90</v>
      </c>
      <c r="D19" s="25">
        <v>3494.7</v>
      </c>
    </row>
    <row r="20" spans="2:40">
      <c r="C20" t="s">
        <v>104</v>
      </c>
      <c r="D20" s="25">
        <v>2944</v>
      </c>
    </row>
    <row r="21" spans="2:40">
      <c r="B21" t="s">
        <v>181</v>
      </c>
      <c r="D21" s="25"/>
    </row>
    <row r="22" spans="2:40">
      <c r="C22" t="s">
        <v>125</v>
      </c>
      <c r="D22" s="25">
        <v>2814.65</v>
      </c>
    </row>
    <row r="23" spans="2:40">
      <c r="B23" t="s">
        <v>182</v>
      </c>
      <c r="D23" s="25"/>
    </row>
    <row r="24" spans="2:40">
      <c r="C24" t="s">
        <v>74</v>
      </c>
      <c r="D24" s="25">
        <v>1914.86</v>
      </c>
    </row>
    <row r="25" spans="2:40">
      <c r="C25" t="s">
        <v>97</v>
      </c>
      <c r="D25" s="25">
        <v>5265.07</v>
      </c>
    </row>
    <row r="26" spans="2:40">
      <c r="B26" t="s">
        <v>157</v>
      </c>
      <c r="D26" s="25">
        <v>70244.08</v>
      </c>
    </row>
    <row r="28" spans="2:40" ht="21">
      <c r="B28" s="39">
        <v>2</v>
      </c>
      <c r="D28" s="38" t="s">
        <v>189</v>
      </c>
      <c r="F28" s="53"/>
    </row>
    <row r="29" spans="2:40" ht="21">
      <c r="B29" s="51" t="s">
        <v>211</v>
      </c>
      <c r="E29" s="52" t="s">
        <v>212</v>
      </c>
      <c r="K29" s="32" t="s">
        <v>21</v>
      </c>
      <c r="L29" t="s">
        <v>161</v>
      </c>
      <c r="N29" s="32" t="s">
        <v>6</v>
      </c>
      <c r="O29" s="32" t="s">
        <v>156</v>
      </c>
      <c r="P29" t="s">
        <v>161</v>
      </c>
      <c r="Q29" t="s">
        <v>158</v>
      </c>
      <c r="S29" s="32" t="s">
        <v>21</v>
      </c>
      <c r="T29" s="32" t="s">
        <v>10</v>
      </c>
      <c r="U29" t="s">
        <v>158</v>
      </c>
      <c r="V29" t="s">
        <v>161</v>
      </c>
      <c r="X29" s="32" t="s">
        <v>6</v>
      </c>
      <c r="Y29" t="s">
        <v>168</v>
      </c>
      <c r="AA29" s="32" t="s">
        <v>5</v>
      </c>
      <c r="AB29" t="s">
        <v>168</v>
      </c>
    </row>
    <row r="30" spans="2:40">
      <c r="B30" s="32" t="s">
        <v>156</v>
      </c>
      <c r="C30" s="50" t="s">
        <v>158</v>
      </c>
      <c r="E30" s="32" t="s">
        <v>21</v>
      </c>
      <c r="F30" s="40" t="s">
        <v>158</v>
      </c>
      <c r="H30" s="32" t="s">
        <v>156</v>
      </c>
      <c r="I30" t="s">
        <v>161</v>
      </c>
      <c r="K30" t="s">
        <v>65</v>
      </c>
      <c r="L30" s="33">
        <v>331</v>
      </c>
      <c r="N30" t="s">
        <v>77</v>
      </c>
      <c r="P30" s="33"/>
      <c r="Q30" s="33"/>
      <c r="S30" t="s">
        <v>65</v>
      </c>
      <c r="U30" s="33"/>
      <c r="V30" s="33"/>
      <c r="X30" t="s">
        <v>77</v>
      </c>
      <c r="Y30" s="33">
        <v>5635</v>
      </c>
      <c r="AA30" t="s">
        <v>106</v>
      </c>
      <c r="AB30" s="33">
        <v>2801</v>
      </c>
    </row>
    <row r="31" spans="2:40">
      <c r="B31" t="s">
        <v>55</v>
      </c>
      <c r="C31" s="40">
        <v>12190</v>
      </c>
      <c r="E31" t="s">
        <v>37</v>
      </c>
      <c r="F31" s="40">
        <v>17452.43</v>
      </c>
      <c r="H31" t="s">
        <v>49</v>
      </c>
      <c r="I31" s="33">
        <v>757</v>
      </c>
      <c r="K31" t="s">
        <v>37</v>
      </c>
      <c r="L31" s="33">
        <v>763</v>
      </c>
      <c r="O31" t="s">
        <v>80</v>
      </c>
      <c r="P31" s="33">
        <v>89</v>
      </c>
      <c r="Q31" s="33">
        <v>858.85</v>
      </c>
      <c r="T31" t="s">
        <v>45</v>
      </c>
      <c r="U31" s="33">
        <v>2434.4</v>
      </c>
      <c r="V31" s="33">
        <v>256</v>
      </c>
      <c r="X31" t="s">
        <v>69</v>
      </c>
      <c r="Y31" s="33">
        <v>5619</v>
      </c>
      <c r="AA31" t="s">
        <v>99</v>
      </c>
      <c r="AB31" s="33">
        <v>11198</v>
      </c>
      <c r="AM31" s="32" t="s">
        <v>156</v>
      </c>
      <c r="AN31" s="50" t="s">
        <v>158</v>
      </c>
    </row>
    <row r="32" spans="2:40">
      <c r="B32" t="s">
        <v>50</v>
      </c>
      <c r="C32" s="40">
        <v>8162</v>
      </c>
      <c r="E32" t="s">
        <v>39</v>
      </c>
      <c r="F32" s="40">
        <v>14240</v>
      </c>
      <c r="H32" t="s">
        <v>55</v>
      </c>
      <c r="I32" s="33">
        <v>318</v>
      </c>
      <c r="K32" t="s">
        <v>73</v>
      </c>
      <c r="L32" s="33">
        <v>267</v>
      </c>
      <c r="O32" t="s">
        <v>88</v>
      </c>
      <c r="P32" s="33">
        <v>29</v>
      </c>
      <c r="Q32" s="33">
        <v>480</v>
      </c>
      <c r="T32" t="s">
        <v>61</v>
      </c>
      <c r="U32" s="33">
        <v>690</v>
      </c>
      <c r="V32" s="33">
        <v>75</v>
      </c>
      <c r="X32" t="s">
        <v>116</v>
      </c>
      <c r="Y32" s="33">
        <v>9825</v>
      </c>
      <c r="AA32" t="s">
        <v>68</v>
      </c>
      <c r="AB32" s="33">
        <v>5619</v>
      </c>
      <c r="AM32" t="s">
        <v>55</v>
      </c>
      <c r="AN32" s="40">
        <v>12190</v>
      </c>
    </row>
    <row r="33" spans="2:40">
      <c r="B33" t="s">
        <v>88</v>
      </c>
      <c r="C33" s="40">
        <v>7840</v>
      </c>
      <c r="E33" t="s">
        <v>89</v>
      </c>
      <c r="F33" s="40">
        <v>7840</v>
      </c>
      <c r="H33" t="s">
        <v>38</v>
      </c>
      <c r="I33" s="33">
        <v>298</v>
      </c>
      <c r="K33" t="s">
        <v>124</v>
      </c>
      <c r="L33" s="33">
        <v>212</v>
      </c>
      <c r="O33" t="s">
        <v>103</v>
      </c>
      <c r="P33" s="33">
        <v>12</v>
      </c>
      <c r="Q33" s="33">
        <v>296.01</v>
      </c>
      <c r="S33" t="s">
        <v>37</v>
      </c>
      <c r="U33" s="33"/>
      <c r="V33" s="33"/>
      <c r="X33" t="s">
        <v>107</v>
      </c>
      <c r="Y33" s="33">
        <v>2801</v>
      </c>
      <c r="AA33" t="s">
        <v>28</v>
      </c>
      <c r="AB33" s="33">
        <v>8297</v>
      </c>
      <c r="AM33" t="s">
        <v>50</v>
      </c>
      <c r="AN33" s="40">
        <v>8162</v>
      </c>
    </row>
    <row r="34" spans="2:40">
      <c r="B34" t="s">
        <v>49</v>
      </c>
      <c r="C34" s="40">
        <v>4620</v>
      </c>
      <c r="E34" t="s">
        <v>110</v>
      </c>
      <c r="F34" s="40">
        <v>5027</v>
      </c>
      <c r="H34" t="s">
        <v>72</v>
      </c>
      <c r="I34" s="33">
        <v>267</v>
      </c>
      <c r="K34" t="s">
        <v>112</v>
      </c>
      <c r="L34" s="33">
        <v>195</v>
      </c>
      <c r="O34" t="s">
        <v>147</v>
      </c>
      <c r="P34" s="33">
        <v>49</v>
      </c>
      <c r="Q34" s="33">
        <v>280</v>
      </c>
      <c r="T34" t="s">
        <v>45</v>
      </c>
      <c r="U34" s="33">
        <v>278.07</v>
      </c>
      <c r="V34" s="33">
        <v>93</v>
      </c>
      <c r="X34" t="s">
        <v>100</v>
      </c>
      <c r="Y34" s="33">
        <v>11198</v>
      </c>
      <c r="AA34" t="s">
        <v>76</v>
      </c>
      <c r="AB34" s="33">
        <v>5635</v>
      </c>
      <c r="AM34" t="s">
        <v>88</v>
      </c>
      <c r="AN34" s="40">
        <v>7840</v>
      </c>
    </row>
    <row r="35" spans="2:40">
      <c r="B35" t="s">
        <v>72</v>
      </c>
      <c r="C35" s="40">
        <v>4309.5</v>
      </c>
      <c r="E35" t="s">
        <v>132</v>
      </c>
      <c r="F35" s="40">
        <v>4469.5</v>
      </c>
      <c r="H35" t="s">
        <v>80</v>
      </c>
      <c r="I35" s="33">
        <v>233</v>
      </c>
      <c r="K35" t="s">
        <v>134</v>
      </c>
      <c r="L35" s="33">
        <v>47</v>
      </c>
      <c r="N35" t="s">
        <v>157</v>
      </c>
      <c r="P35" s="33">
        <v>179</v>
      </c>
      <c r="Q35" s="33">
        <v>1914.86</v>
      </c>
      <c r="T35" t="s">
        <v>61</v>
      </c>
      <c r="U35" s="33">
        <v>9108.83</v>
      </c>
      <c r="V35" s="33">
        <v>312</v>
      </c>
      <c r="X35" t="s">
        <v>29</v>
      </c>
      <c r="Y35" s="33">
        <v>8297</v>
      </c>
      <c r="AA35" t="s">
        <v>92</v>
      </c>
      <c r="AB35" s="33">
        <v>7002</v>
      </c>
      <c r="AM35" t="s">
        <v>49</v>
      </c>
      <c r="AN35" s="40">
        <v>4620</v>
      </c>
    </row>
    <row r="36" spans="2:40">
      <c r="B36" t="s">
        <v>157</v>
      </c>
      <c r="C36" s="50">
        <v>37121.5</v>
      </c>
      <c r="E36" t="s">
        <v>73</v>
      </c>
      <c r="F36" s="40">
        <v>4309.5</v>
      </c>
      <c r="H36" t="s">
        <v>64</v>
      </c>
      <c r="I36" s="33">
        <v>232</v>
      </c>
      <c r="K36" t="s">
        <v>39</v>
      </c>
      <c r="L36" s="33">
        <v>1287</v>
      </c>
      <c r="T36" t="s">
        <v>95</v>
      </c>
      <c r="U36" s="33">
        <v>2811.52</v>
      </c>
      <c r="V36" s="33">
        <v>159</v>
      </c>
      <c r="X36" t="s">
        <v>43</v>
      </c>
      <c r="Y36" s="33">
        <v>11143</v>
      </c>
      <c r="AA36" t="s">
        <v>115</v>
      </c>
      <c r="AB36" s="33">
        <v>9825</v>
      </c>
      <c r="AM36" t="s">
        <v>72</v>
      </c>
      <c r="AN36" s="40">
        <v>4309.5</v>
      </c>
    </row>
    <row r="37" spans="2:40">
      <c r="E37" t="s">
        <v>134</v>
      </c>
      <c r="F37" s="40">
        <v>3549.6</v>
      </c>
      <c r="H37" t="s">
        <v>88</v>
      </c>
      <c r="I37" s="33">
        <v>217</v>
      </c>
      <c r="K37" t="s">
        <v>150</v>
      </c>
      <c r="L37" s="33">
        <v>41</v>
      </c>
      <c r="T37" t="s">
        <v>32</v>
      </c>
      <c r="U37" s="33">
        <v>5254.01</v>
      </c>
      <c r="V37" s="33">
        <v>199</v>
      </c>
      <c r="X37" t="s">
        <v>59</v>
      </c>
      <c r="Y37" s="33">
        <v>9801</v>
      </c>
      <c r="AA37" t="s">
        <v>84</v>
      </c>
      <c r="AB37" s="33">
        <v>9876</v>
      </c>
      <c r="AM37" t="s">
        <v>109</v>
      </c>
      <c r="AN37" s="40">
        <v>3650</v>
      </c>
    </row>
    <row r="38" spans="2:40">
      <c r="E38" t="s">
        <v>65</v>
      </c>
      <c r="F38" s="40">
        <v>3124.4</v>
      </c>
      <c r="H38" t="s">
        <v>123</v>
      </c>
      <c r="I38" s="33">
        <v>212</v>
      </c>
      <c r="K38" t="s">
        <v>146</v>
      </c>
      <c r="L38" s="33">
        <v>91</v>
      </c>
      <c r="S38" t="s">
        <v>73</v>
      </c>
      <c r="U38" s="33"/>
      <c r="V38" s="33"/>
      <c r="X38" t="s">
        <v>93</v>
      </c>
      <c r="Y38" s="33">
        <v>7002</v>
      </c>
      <c r="AA38" t="s">
        <v>42</v>
      </c>
      <c r="AB38" s="33">
        <v>11143</v>
      </c>
      <c r="AM38" t="s">
        <v>133</v>
      </c>
      <c r="AN38" s="40">
        <v>3549.6</v>
      </c>
    </row>
    <row r="39" spans="2:40">
      <c r="E39" t="s">
        <v>112</v>
      </c>
      <c r="F39" s="40">
        <v>3030</v>
      </c>
      <c r="H39" t="s">
        <v>103</v>
      </c>
      <c r="I39" s="33">
        <v>170</v>
      </c>
      <c r="K39" t="s">
        <v>110</v>
      </c>
      <c r="L39" s="33">
        <v>170</v>
      </c>
      <c r="T39" t="s">
        <v>61</v>
      </c>
      <c r="U39" s="33">
        <v>4016.25</v>
      </c>
      <c r="V39" s="33">
        <v>244</v>
      </c>
      <c r="X39" t="s">
        <v>128</v>
      </c>
      <c r="Y39" s="33">
        <v>4212</v>
      </c>
      <c r="AA39" t="s">
        <v>58</v>
      </c>
      <c r="AB39" s="33">
        <v>9801</v>
      </c>
      <c r="AM39" t="s">
        <v>123</v>
      </c>
      <c r="AN39" s="40">
        <v>2962.4</v>
      </c>
    </row>
    <row r="40" spans="2:40">
      <c r="E40" t="s">
        <v>124</v>
      </c>
      <c r="F40" s="40">
        <v>2962.4</v>
      </c>
      <c r="H40" t="s">
        <v>54</v>
      </c>
      <c r="I40" s="33">
        <v>161</v>
      </c>
      <c r="K40" t="s">
        <v>143</v>
      </c>
      <c r="L40" s="33">
        <v>49</v>
      </c>
      <c r="T40" t="s">
        <v>32</v>
      </c>
      <c r="U40" s="33">
        <v>293.25</v>
      </c>
      <c r="V40" s="33">
        <v>23</v>
      </c>
      <c r="X40" t="s">
        <v>121</v>
      </c>
      <c r="Y40" s="33">
        <v>5591</v>
      </c>
      <c r="AA40" t="s">
        <v>127</v>
      </c>
      <c r="AB40" s="33">
        <v>4212</v>
      </c>
      <c r="AM40" t="s">
        <v>54</v>
      </c>
      <c r="AN40" s="40">
        <v>2898</v>
      </c>
    </row>
    <row r="41" spans="2:40">
      <c r="E41" t="s">
        <v>157</v>
      </c>
      <c r="F41" s="50">
        <v>66004.83</v>
      </c>
      <c r="H41" t="s">
        <v>157</v>
      </c>
      <c r="I41" s="33">
        <v>2865</v>
      </c>
      <c r="K41" t="s">
        <v>132</v>
      </c>
      <c r="L41" s="33">
        <v>118</v>
      </c>
      <c r="S41" t="s">
        <v>124</v>
      </c>
      <c r="U41" s="33"/>
      <c r="V41" s="33"/>
      <c r="X41" t="s">
        <v>85</v>
      </c>
      <c r="Y41" s="33">
        <v>9876</v>
      </c>
      <c r="AA41" t="s">
        <v>120</v>
      </c>
      <c r="AB41" s="33">
        <v>5591</v>
      </c>
      <c r="AM41" t="s">
        <v>151</v>
      </c>
      <c r="AN41" s="40">
        <v>2812</v>
      </c>
    </row>
    <row r="42" spans="2:40">
      <c r="K42" t="s">
        <v>89</v>
      </c>
      <c r="L42" s="33">
        <v>217</v>
      </c>
      <c r="T42" t="s">
        <v>61</v>
      </c>
      <c r="U42" s="33">
        <v>680.8</v>
      </c>
      <c r="V42" s="33">
        <v>88</v>
      </c>
      <c r="X42" t="s">
        <v>157</v>
      </c>
      <c r="Y42" s="33">
        <v>91000</v>
      </c>
      <c r="AA42" t="s">
        <v>157</v>
      </c>
      <c r="AB42" s="33">
        <v>91000</v>
      </c>
      <c r="AM42" t="s">
        <v>111</v>
      </c>
      <c r="AN42" s="40">
        <v>2750</v>
      </c>
    </row>
    <row r="43" spans="2:40">
      <c r="K43" t="s">
        <v>81</v>
      </c>
      <c r="L43" s="33">
        <v>233</v>
      </c>
      <c r="T43" t="s">
        <v>95</v>
      </c>
      <c r="U43" s="33">
        <v>2281.6</v>
      </c>
      <c r="V43" s="33">
        <v>124</v>
      </c>
      <c r="AM43" t="s">
        <v>80</v>
      </c>
      <c r="AN43" s="40">
        <v>2451.1</v>
      </c>
    </row>
    <row r="44" spans="2:40">
      <c r="K44" t="s">
        <v>157</v>
      </c>
      <c r="L44" s="33">
        <v>4021</v>
      </c>
      <c r="S44" t="s">
        <v>112</v>
      </c>
      <c r="U44" s="33"/>
      <c r="V44" s="33"/>
      <c r="AM44" t="s">
        <v>64</v>
      </c>
      <c r="AN44" s="40">
        <v>2134.4</v>
      </c>
    </row>
    <row r="45" spans="2:40" ht="21">
      <c r="B45" s="39">
        <v>3</v>
      </c>
      <c r="D45" s="38" t="s">
        <v>190</v>
      </c>
      <c r="T45" t="s">
        <v>45</v>
      </c>
      <c r="U45" s="33">
        <v>2750</v>
      </c>
      <c r="V45" s="33">
        <v>146</v>
      </c>
      <c r="AM45" t="s">
        <v>131</v>
      </c>
      <c r="AN45" s="40">
        <v>1657.5</v>
      </c>
    </row>
    <row r="46" spans="2:40" ht="18.75">
      <c r="C46" s="54" t="s">
        <v>213</v>
      </c>
      <c r="F46" s="56" t="s">
        <v>214</v>
      </c>
      <c r="T46" t="s">
        <v>32</v>
      </c>
      <c r="U46" s="33">
        <v>280</v>
      </c>
      <c r="V46" s="33">
        <v>49</v>
      </c>
      <c r="AM46" t="s">
        <v>36</v>
      </c>
      <c r="AN46" s="40">
        <v>1596</v>
      </c>
    </row>
    <row r="47" spans="2:40">
      <c r="C47" s="32" t="s">
        <v>3</v>
      </c>
      <c r="D47" s="25" t="s">
        <v>158</v>
      </c>
      <c r="F47" s="32" t="s">
        <v>3</v>
      </c>
      <c r="G47" s="32" t="s">
        <v>6</v>
      </c>
      <c r="H47" s="50" t="s">
        <v>158</v>
      </c>
      <c r="K47" s="32" t="s">
        <v>3</v>
      </c>
      <c r="L47" t="s" vm="1">
        <v>183</v>
      </c>
      <c r="S47" t="s">
        <v>134</v>
      </c>
      <c r="U47" s="33"/>
      <c r="V47" s="33"/>
      <c r="AM47" t="s">
        <v>144</v>
      </c>
      <c r="AN47" s="40">
        <v>1377</v>
      </c>
    </row>
    <row r="48" spans="2:40">
      <c r="C48" t="s">
        <v>26</v>
      </c>
      <c r="D48" s="25">
        <v>476</v>
      </c>
      <c r="F48" t="s">
        <v>118</v>
      </c>
      <c r="H48" s="40"/>
      <c r="T48" t="s">
        <v>61</v>
      </c>
      <c r="U48" s="33">
        <v>2923.2</v>
      </c>
      <c r="V48" s="33">
        <v>29</v>
      </c>
      <c r="AM48" t="s">
        <v>142</v>
      </c>
      <c r="AN48" s="40">
        <v>1046.1500000000001</v>
      </c>
    </row>
    <row r="49" spans="3:40">
      <c r="C49" t="s">
        <v>66</v>
      </c>
      <c r="D49" s="25">
        <v>979.25</v>
      </c>
      <c r="G49" t="s">
        <v>121</v>
      </c>
      <c r="H49" s="40">
        <v>5655.63</v>
      </c>
      <c r="K49" s="32" t="s">
        <v>173</v>
      </c>
      <c r="L49" s="32" t="s">
        <v>9</v>
      </c>
      <c r="M49" t="s">
        <v>161</v>
      </c>
      <c r="O49" s="32" t="s">
        <v>10</v>
      </c>
      <c r="P49" s="25" t="s">
        <v>158</v>
      </c>
      <c r="Q49" t="s">
        <v>169</v>
      </c>
      <c r="R49" t="s">
        <v>161</v>
      </c>
      <c r="T49" t="s">
        <v>32</v>
      </c>
      <c r="U49" s="33">
        <v>626.4</v>
      </c>
      <c r="V49" s="33">
        <v>18</v>
      </c>
      <c r="AM49" t="s">
        <v>38</v>
      </c>
      <c r="AN49" s="40">
        <v>1008</v>
      </c>
    </row>
    <row r="50" spans="3:40">
      <c r="C50" t="s">
        <v>74</v>
      </c>
      <c r="D50" s="25">
        <v>1914.86</v>
      </c>
      <c r="F50" t="s">
        <v>26</v>
      </c>
      <c r="H50" s="40"/>
      <c r="K50" t="s">
        <v>177</v>
      </c>
      <c r="M50" s="33"/>
      <c r="O50" t="s">
        <v>45</v>
      </c>
      <c r="P50" s="25">
        <v>19789.97</v>
      </c>
      <c r="Q50" s="33">
        <v>16</v>
      </c>
      <c r="R50" s="33">
        <v>1264</v>
      </c>
      <c r="S50" t="s">
        <v>39</v>
      </c>
      <c r="U50" s="33"/>
      <c r="V50" s="33"/>
      <c r="AM50" t="s">
        <v>138</v>
      </c>
      <c r="AN50" s="40">
        <v>990</v>
      </c>
    </row>
    <row r="51" spans="3:40">
      <c r="C51" t="s">
        <v>135</v>
      </c>
      <c r="D51" s="25">
        <v>2156</v>
      </c>
      <c r="G51" t="s">
        <v>29</v>
      </c>
      <c r="H51" s="40">
        <v>476</v>
      </c>
      <c r="L51" t="s">
        <v>70</v>
      </c>
      <c r="M51" s="33">
        <v>157</v>
      </c>
      <c r="O51" t="s">
        <v>61</v>
      </c>
      <c r="P51" s="25">
        <v>27652.080000000002</v>
      </c>
      <c r="Q51" s="33">
        <v>20</v>
      </c>
      <c r="R51" s="33">
        <v>1184</v>
      </c>
      <c r="T51" t="s">
        <v>45</v>
      </c>
      <c r="U51" s="33">
        <v>7842.5</v>
      </c>
      <c r="V51" s="33">
        <v>499</v>
      </c>
      <c r="AM51" t="s">
        <v>103</v>
      </c>
      <c r="AN51" s="40">
        <v>768.43</v>
      </c>
    </row>
    <row r="52" spans="3:40">
      <c r="C52" t="s">
        <v>125</v>
      </c>
      <c r="D52" s="25">
        <v>2814.65</v>
      </c>
      <c r="F52" t="s">
        <v>90</v>
      </c>
      <c r="H52" s="40"/>
      <c r="L52" t="s">
        <v>60</v>
      </c>
      <c r="M52" s="33">
        <v>623</v>
      </c>
      <c r="O52" t="s">
        <v>95</v>
      </c>
      <c r="P52" s="25">
        <v>12065.27</v>
      </c>
      <c r="Q52" s="33">
        <v>12</v>
      </c>
      <c r="R52" s="33">
        <v>697</v>
      </c>
      <c r="T52" t="s">
        <v>61</v>
      </c>
      <c r="U52" s="33">
        <v>5953</v>
      </c>
      <c r="V52" s="33">
        <v>329</v>
      </c>
      <c r="AM52" t="s">
        <v>149</v>
      </c>
      <c r="AN52" s="40">
        <v>546</v>
      </c>
    </row>
    <row r="53" spans="3:40">
      <c r="C53" t="s">
        <v>104</v>
      </c>
      <c r="D53" s="25">
        <v>2944</v>
      </c>
      <c r="G53" t="s">
        <v>93</v>
      </c>
      <c r="H53" s="40">
        <v>3494.7</v>
      </c>
      <c r="K53" t="s">
        <v>184</v>
      </c>
      <c r="M53" s="33">
        <v>780</v>
      </c>
      <c r="O53" t="s">
        <v>32</v>
      </c>
      <c r="P53" s="25">
        <v>10736.76</v>
      </c>
      <c r="Q53" s="33">
        <v>17</v>
      </c>
      <c r="R53" s="33">
        <v>876</v>
      </c>
      <c r="T53" t="s">
        <v>95</v>
      </c>
      <c r="U53" s="33">
        <v>234.5</v>
      </c>
      <c r="V53" s="33">
        <v>150</v>
      </c>
      <c r="AM53" t="s">
        <v>148</v>
      </c>
      <c r="AN53" s="40">
        <v>450</v>
      </c>
    </row>
    <row r="54" spans="3:40">
      <c r="C54" t="s">
        <v>113</v>
      </c>
      <c r="D54" s="25">
        <v>3458.02</v>
      </c>
      <c r="F54" t="s">
        <v>74</v>
      </c>
      <c r="H54" s="40"/>
      <c r="K54" t="s">
        <v>157</v>
      </c>
      <c r="M54" s="33">
        <v>780</v>
      </c>
      <c r="O54" t="s">
        <v>157</v>
      </c>
      <c r="P54" s="25">
        <v>70244.08</v>
      </c>
      <c r="Q54" s="33">
        <v>65</v>
      </c>
      <c r="R54" s="33">
        <v>4021</v>
      </c>
      <c r="T54" t="s">
        <v>32</v>
      </c>
      <c r="U54" s="33">
        <v>210</v>
      </c>
      <c r="V54" s="33">
        <v>309</v>
      </c>
      <c r="AM54" t="s">
        <v>147</v>
      </c>
      <c r="AN54" s="40">
        <v>280</v>
      </c>
    </row>
    <row r="55" spans="3:40">
      <c r="C55" t="s">
        <v>90</v>
      </c>
      <c r="D55" s="25">
        <v>3494.7</v>
      </c>
      <c r="G55" t="s">
        <v>77</v>
      </c>
      <c r="H55" s="40">
        <v>1914.86</v>
      </c>
      <c r="S55" t="s">
        <v>150</v>
      </c>
      <c r="U55" s="33"/>
      <c r="V55" s="33"/>
      <c r="AM55" t="s">
        <v>145</v>
      </c>
      <c r="AN55" s="40">
        <v>196</v>
      </c>
    </row>
    <row r="56" spans="3:40">
      <c r="C56" t="s">
        <v>51</v>
      </c>
      <c r="D56" s="25">
        <v>4552</v>
      </c>
      <c r="F56" t="s">
        <v>66</v>
      </c>
      <c r="H56" s="40"/>
      <c r="K56" s="32" t="s">
        <v>187</v>
      </c>
      <c r="L56" s="25" t="s">
        <v>158</v>
      </c>
      <c r="M56" t="s">
        <v>169</v>
      </c>
      <c r="T56" t="s">
        <v>32</v>
      </c>
      <c r="U56" s="33">
        <v>546</v>
      </c>
      <c r="V56" s="33">
        <v>41</v>
      </c>
      <c r="AM56" t="s">
        <v>157</v>
      </c>
      <c r="AN56" s="50">
        <v>70244.08</v>
      </c>
    </row>
    <row r="57" spans="3:40">
      <c r="C57" t="s">
        <v>139</v>
      </c>
      <c r="D57" s="25">
        <v>5112.55</v>
      </c>
      <c r="G57" t="s">
        <v>69</v>
      </c>
      <c r="H57" s="40">
        <v>979.25</v>
      </c>
      <c r="K57" t="s">
        <v>194</v>
      </c>
      <c r="L57" s="25">
        <v>36499.199999999997</v>
      </c>
      <c r="M57" s="33">
        <v>12</v>
      </c>
      <c r="S57" t="s">
        <v>146</v>
      </c>
      <c r="U57" s="33"/>
      <c r="V57" s="33"/>
    </row>
    <row r="58" spans="3:40">
      <c r="C58" t="s">
        <v>97</v>
      </c>
      <c r="D58" s="25">
        <v>5265.07</v>
      </c>
      <c r="F58" t="s">
        <v>40</v>
      </c>
      <c r="H58" s="40"/>
      <c r="K58" t="s">
        <v>195</v>
      </c>
      <c r="L58" s="25">
        <v>13103.38</v>
      </c>
      <c r="M58" s="33">
        <v>38</v>
      </c>
      <c r="T58" t="s">
        <v>45</v>
      </c>
      <c r="U58" s="33">
        <v>196</v>
      </c>
      <c r="V58" s="33">
        <v>91</v>
      </c>
    </row>
    <row r="59" spans="3:40">
      <c r="C59" t="s">
        <v>118</v>
      </c>
      <c r="D59" s="25">
        <v>5655.63</v>
      </c>
      <c r="G59" t="s">
        <v>43</v>
      </c>
      <c r="H59" s="40">
        <v>12368.9</v>
      </c>
      <c r="K59" t="s">
        <v>196</v>
      </c>
      <c r="L59" s="25">
        <v>20641.5</v>
      </c>
      <c r="M59" s="33">
        <v>15</v>
      </c>
      <c r="S59" t="s">
        <v>110</v>
      </c>
      <c r="U59" s="33"/>
      <c r="V59" s="33"/>
    </row>
    <row r="60" spans="3:40">
      <c r="C60" t="s">
        <v>56</v>
      </c>
      <c r="D60" s="25">
        <v>8537.9500000000007</v>
      </c>
      <c r="F60" t="s">
        <v>82</v>
      </c>
      <c r="H60" s="40"/>
      <c r="K60" t="s">
        <v>157</v>
      </c>
      <c r="L60" s="25">
        <v>70244.08</v>
      </c>
      <c r="M60" s="33">
        <v>65</v>
      </c>
      <c r="T60" t="s">
        <v>45</v>
      </c>
      <c r="U60" s="33">
        <v>3477</v>
      </c>
      <c r="V60" s="33">
        <v>146</v>
      </c>
    </row>
    <row r="61" spans="3:40">
      <c r="C61" t="s">
        <v>82</v>
      </c>
      <c r="D61" s="25">
        <v>10514.5</v>
      </c>
      <c r="G61" t="s">
        <v>85</v>
      </c>
      <c r="H61" s="40">
        <v>10514.5</v>
      </c>
      <c r="T61" t="s">
        <v>95</v>
      </c>
      <c r="U61" s="33">
        <v>1550</v>
      </c>
      <c r="V61" s="33">
        <v>24</v>
      </c>
    </row>
    <row r="62" spans="3:40">
      <c r="C62" t="s">
        <v>40</v>
      </c>
      <c r="D62" s="25">
        <v>12368.9</v>
      </c>
      <c r="F62" t="s">
        <v>104</v>
      </c>
      <c r="H62" s="40"/>
      <c r="K62" s="32" t="s">
        <v>187</v>
      </c>
      <c r="L62" s="32" t="s">
        <v>3</v>
      </c>
      <c r="M62" t="s">
        <v>158</v>
      </c>
      <c r="S62" t="s">
        <v>143</v>
      </c>
      <c r="U62" s="33"/>
      <c r="V62" s="33"/>
    </row>
    <row r="63" spans="3:40">
      <c r="C63" t="s">
        <v>157</v>
      </c>
      <c r="D63" s="55">
        <v>70244.08</v>
      </c>
      <c r="G63" t="s">
        <v>107</v>
      </c>
      <c r="H63" s="40">
        <v>2944</v>
      </c>
      <c r="K63" t="s">
        <v>194</v>
      </c>
      <c r="M63" s="33"/>
      <c r="T63" t="s">
        <v>95</v>
      </c>
      <c r="U63" s="33">
        <v>1046.1500000000001</v>
      </c>
      <c r="V63" s="33">
        <v>49</v>
      </c>
    </row>
    <row r="64" spans="3:40">
      <c r="F64" t="s">
        <v>56</v>
      </c>
      <c r="H64" s="40"/>
      <c r="L64" t="s">
        <v>118</v>
      </c>
      <c r="M64" s="33">
        <v>3772</v>
      </c>
      <c r="S64" t="s">
        <v>132</v>
      </c>
      <c r="U64" s="33"/>
      <c r="V64" s="33"/>
    </row>
    <row r="65" spans="3:22">
      <c r="C65" s="32" t="s">
        <v>6</v>
      </c>
      <c r="D65" t="s">
        <v>169</v>
      </c>
      <c r="G65" t="s">
        <v>59</v>
      </c>
      <c r="H65" s="40">
        <v>8537.9500000000007</v>
      </c>
      <c r="L65" t="s">
        <v>40</v>
      </c>
      <c r="M65" s="33">
        <v>9641</v>
      </c>
      <c r="T65" t="s">
        <v>45</v>
      </c>
      <c r="U65" s="33">
        <v>2812</v>
      </c>
      <c r="V65" s="33">
        <v>33</v>
      </c>
    </row>
    <row r="66" spans="3:22">
      <c r="C66" t="s">
        <v>77</v>
      </c>
      <c r="D66" s="33">
        <v>4</v>
      </c>
      <c r="F66" t="s">
        <v>125</v>
      </c>
      <c r="H66" s="40"/>
      <c r="L66" t="s">
        <v>82</v>
      </c>
      <c r="M66" s="33">
        <v>5953</v>
      </c>
      <c r="T66" t="s">
        <v>32</v>
      </c>
      <c r="U66" s="33">
        <v>1657.5</v>
      </c>
      <c r="V66" s="33">
        <v>85</v>
      </c>
    </row>
    <row r="67" spans="3:22">
      <c r="C67" t="s">
        <v>69</v>
      </c>
      <c r="D67" s="33">
        <v>4</v>
      </c>
      <c r="G67" t="s">
        <v>128</v>
      </c>
      <c r="H67" s="40">
        <v>2814.65</v>
      </c>
      <c r="L67" t="s">
        <v>104</v>
      </c>
      <c r="M67" s="33">
        <v>2944</v>
      </c>
      <c r="S67" t="s">
        <v>89</v>
      </c>
      <c r="U67" s="33"/>
      <c r="V67" s="33"/>
    </row>
    <row r="68" spans="3:22">
      <c r="C68" t="s">
        <v>116</v>
      </c>
      <c r="D68" s="33">
        <v>7</v>
      </c>
      <c r="F68" t="s">
        <v>97</v>
      </c>
      <c r="H68" s="40"/>
      <c r="L68" t="s">
        <v>56</v>
      </c>
      <c r="M68" s="33">
        <v>6203.2</v>
      </c>
      <c r="T68" t="s">
        <v>61</v>
      </c>
      <c r="U68" s="33">
        <v>4280</v>
      </c>
      <c r="V68" s="33">
        <v>107</v>
      </c>
    </row>
    <row r="69" spans="3:22">
      <c r="C69" t="s">
        <v>107</v>
      </c>
      <c r="D69" s="33">
        <v>2</v>
      </c>
      <c r="G69" t="s">
        <v>100</v>
      </c>
      <c r="H69" s="40">
        <v>5265.07</v>
      </c>
      <c r="L69" t="s">
        <v>97</v>
      </c>
      <c r="M69" s="33">
        <v>2100</v>
      </c>
      <c r="T69" t="s">
        <v>95</v>
      </c>
      <c r="U69" s="33">
        <v>3080</v>
      </c>
      <c r="V69" s="33">
        <v>81</v>
      </c>
    </row>
    <row r="70" spans="3:22">
      <c r="C70" t="s">
        <v>100</v>
      </c>
      <c r="D70" s="33">
        <v>8</v>
      </c>
      <c r="F70" t="s">
        <v>113</v>
      </c>
      <c r="H70" s="40"/>
      <c r="L70" t="s">
        <v>113</v>
      </c>
      <c r="M70" s="33">
        <v>3080</v>
      </c>
      <c r="T70" t="s">
        <v>32</v>
      </c>
      <c r="U70" s="33">
        <v>480</v>
      </c>
      <c r="V70" s="33">
        <v>29</v>
      </c>
    </row>
    <row r="71" spans="3:22">
      <c r="C71" t="s">
        <v>29</v>
      </c>
      <c r="D71" s="33">
        <v>6</v>
      </c>
      <c r="G71" t="s">
        <v>116</v>
      </c>
      <c r="H71" s="40">
        <v>3458.02</v>
      </c>
      <c r="L71" t="s">
        <v>51</v>
      </c>
      <c r="M71" s="33">
        <v>2806</v>
      </c>
      <c r="S71" t="s">
        <v>81</v>
      </c>
      <c r="U71" s="33"/>
      <c r="V71" s="33"/>
    </row>
    <row r="72" spans="3:22">
      <c r="C72" t="s">
        <v>43</v>
      </c>
      <c r="D72" s="33">
        <v>8</v>
      </c>
      <c r="F72" t="s">
        <v>51</v>
      </c>
      <c r="H72" s="40"/>
      <c r="K72" t="s">
        <v>197</v>
      </c>
      <c r="M72" s="33">
        <v>36499.199999999997</v>
      </c>
      <c r="T72" t="s">
        <v>95</v>
      </c>
      <c r="U72" s="33">
        <v>1061.5</v>
      </c>
      <c r="V72" s="33">
        <v>110</v>
      </c>
    </row>
    <row r="73" spans="3:22">
      <c r="C73" t="s">
        <v>59</v>
      </c>
      <c r="D73" s="33">
        <v>7</v>
      </c>
      <c r="G73" t="s">
        <v>29</v>
      </c>
      <c r="H73" s="40">
        <v>4552</v>
      </c>
      <c r="K73" t="s">
        <v>195</v>
      </c>
      <c r="M73" s="33"/>
      <c r="T73" t="s">
        <v>32</v>
      </c>
      <c r="U73" s="33">
        <v>1389.6</v>
      </c>
      <c r="V73" s="33">
        <v>123</v>
      </c>
    </row>
    <row r="74" spans="3:22">
      <c r="C74" t="s">
        <v>93</v>
      </c>
      <c r="D74" s="33">
        <v>5</v>
      </c>
      <c r="F74" t="s">
        <v>135</v>
      </c>
      <c r="H74" s="40"/>
      <c r="L74" t="s">
        <v>118</v>
      </c>
      <c r="M74" s="33">
        <v>731.63</v>
      </c>
      <c r="S74" t="s">
        <v>157</v>
      </c>
      <c r="U74" s="33">
        <v>70244.08</v>
      </c>
      <c r="V74" s="33">
        <v>4021</v>
      </c>
    </row>
    <row r="75" spans="3:22">
      <c r="C75" t="s">
        <v>128</v>
      </c>
      <c r="D75" s="33">
        <v>3</v>
      </c>
      <c r="G75" t="s">
        <v>100</v>
      </c>
      <c r="H75" s="40">
        <v>2156</v>
      </c>
      <c r="L75" t="s">
        <v>26</v>
      </c>
      <c r="M75" s="33">
        <v>476</v>
      </c>
    </row>
    <row r="76" spans="3:22">
      <c r="C76" t="s">
        <v>121</v>
      </c>
      <c r="D76" s="33">
        <v>4</v>
      </c>
      <c r="F76" t="s">
        <v>139</v>
      </c>
      <c r="H76" s="40"/>
      <c r="L76" t="s">
        <v>90</v>
      </c>
      <c r="M76" s="33">
        <v>1700.7</v>
      </c>
    </row>
    <row r="77" spans="3:22">
      <c r="C77" t="s">
        <v>85</v>
      </c>
      <c r="D77" s="33">
        <v>7</v>
      </c>
      <c r="G77" t="s">
        <v>116</v>
      </c>
      <c r="H77" s="40">
        <v>5112.55</v>
      </c>
      <c r="L77" t="s">
        <v>74</v>
      </c>
      <c r="M77" s="33">
        <v>1914.86</v>
      </c>
    </row>
    <row r="78" spans="3:22">
      <c r="C78" t="s">
        <v>157</v>
      </c>
      <c r="D78" s="33">
        <v>65</v>
      </c>
      <c r="F78" t="s">
        <v>157</v>
      </c>
      <c r="H78" s="25">
        <v>70244.08</v>
      </c>
      <c r="L78" t="s">
        <v>66</v>
      </c>
      <c r="M78" s="33">
        <v>979.25</v>
      </c>
    </row>
    <row r="79" spans="3:22">
      <c r="L79" t="s">
        <v>40</v>
      </c>
      <c r="M79" s="33">
        <v>1350.9</v>
      </c>
    </row>
    <row r="80" spans="3:22">
      <c r="L80" t="s">
        <v>82</v>
      </c>
      <c r="M80" s="33">
        <v>0</v>
      </c>
    </row>
    <row r="81" spans="11:13">
      <c r="L81" t="s">
        <v>104</v>
      </c>
      <c r="M81" s="33">
        <v>0</v>
      </c>
    </row>
    <row r="82" spans="11:13">
      <c r="L82" t="s">
        <v>56</v>
      </c>
      <c r="M82" s="33">
        <v>1149</v>
      </c>
    </row>
    <row r="83" spans="11:13">
      <c r="L83" t="s">
        <v>125</v>
      </c>
      <c r="M83" s="33">
        <v>1157.1500000000001</v>
      </c>
    </row>
    <row r="84" spans="11:13">
      <c r="L84" t="s">
        <v>97</v>
      </c>
      <c r="M84" s="33">
        <v>1581.07</v>
      </c>
    </row>
    <row r="85" spans="11:13">
      <c r="L85" t="s">
        <v>113</v>
      </c>
      <c r="M85" s="33">
        <v>378.02</v>
      </c>
    </row>
    <row r="86" spans="11:13">
      <c r="L86" t="s">
        <v>51</v>
      </c>
      <c r="M86" s="33">
        <v>0</v>
      </c>
    </row>
    <row r="87" spans="11:13">
      <c r="L87" t="s">
        <v>135</v>
      </c>
      <c r="M87" s="33">
        <v>990</v>
      </c>
    </row>
    <row r="88" spans="11:13">
      <c r="L88" t="s">
        <v>139</v>
      </c>
      <c r="M88" s="33">
        <v>694.8</v>
      </c>
    </row>
    <row r="89" spans="11:13">
      <c r="K89" t="s">
        <v>198</v>
      </c>
      <c r="M89" s="33">
        <v>13103.38</v>
      </c>
    </row>
    <row r="90" spans="11:13">
      <c r="K90" t="s">
        <v>196</v>
      </c>
      <c r="M90" s="33"/>
    </row>
    <row r="91" spans="11:13">
      <c r="L91" t="s">
        <v>118</v>
      </c>
      <c r="M91" s="33">
        <v>1152</v>
      </c>
    </row>
    <row r="92" spans="11:13">
      <c r="L92" t="s">
        <v>90</v>
      </c>
      <c r="M92" s="33">
        <v>1794</v>
      </c>
    </row>
    <row r="93" spans="11:13">
      <c r="L93" t="s">
        <v>40</v>
      </c>
      <c r="M93" s="33">
        <v>1377</v>
      </c>
    </row>
    <row r="94" spans="11:13">
      <c r="L94" t="s">
        <v>82</v>
      </c>
      <c r="M94" s="33">
        <v>4561.5</v>
      </c>
    </row>
    <row r="95" spans="11:13">
      <c r="L95" t="s">
        <v>56</v>
      </c>
      <c r="M95" s="33">
        <v>1185.75</v>
      </c>
    </row>
    <row r="96" spans="11:13">
      <c r="L96" t="s">
        <v>125</v>
      </c>
      <c r="M96" s="33">
        <v>1657.5</v>
      </c>
    </row>
    <row r="97" spans="2:13">
      <c r="L97" t="s">
        <v>97</v>
      </c>
      <c r="M97" s="33">
        <v>1584</v>
      </c>
    </row>
    <row r="98" spans="2:13">
      <c r="L98" t="s">
        <v>51</v>
      </c>
      <c r="M98" s="33">
        <v>1746</v>
      </c>
    </row>
    <row r="99" spans="2:13">
      <c r="L99" t="s">
        <v>135</v>
      </c>
      <c r="M99" s="33">
        <v>1166</v>
      </c>
    </row>
    <row r="100" spans="2:13" ht="18.75">
      <c r="B100" s="38">
        <v>4</v>
      </c>
      <c r="D100" s="38" t="s">
        <v>191</v>
      </c>
      <c r="L100" t="s">
        <v>139</v>
      </c>
      <c r="M100" s="33">
        <v>4417.75</v>
      </c>
    </row>
    <row r="101" spans="2:13">
      <c r="B101" t="s">
        <v>215</v>
      </c>
      <c r="K101" t="s">
        <v>199</v>
      </c>
      <c r="M101" s="33">
        <v>20641.5</v>
      </c>
    </row>
    <row r="102" spans="2:13">
      <c r="B102" s="32" t="s">
        <v>10</v>
      </c>
      <c r="C102" s="25" t="s">
        <v>162</v>
      </c>
      <c r="K102" t="s">
        <v>157</v>
      </c>
      <c r="M102" s="33">
        <v>70244.08</v>
      </c>
    </row>
    <row r="103" spans="2:13">
      <c r="B103" t="s">
        <v>95</v>
      </c>
      <c r="C103" s="25">
        <v>1505.9662000000001</v>
      </c>
    </row>
    <row r="104" spans="2:13">
      <c r="B104" t="s">
        <v>32</v>
      </c>
      <c r="C104" s="25">
        <v>1539.0355</v>
      </c>
    </row>
    <row r="105" spans="2:13">
      <c r="B105" t="s">
        <v>45</v>
      </c>
      <c r="C105" s="25">
        <v>1874.5586499999999</v>
      </c>
    </row>
    <row r="106" spans="2:13">
      <c r="B106" t="s">
        <v>61</v>
      </c>
      <c r="C106" s="25">
        <v>2659.2851300000002</v>
      </c>
    </row>
    <row r="107" spans="2:13">
      <c r="B107" t="s">
        <v>157</v>
      </c>
      <c r="C107" s="25">
        <v>7578.84548</v>
      </c>
    </row>
    <row r="109" spans="2:13">
      <c r="H109" s="32" t="s">
        <v>6</v>
      </c>
      <c r="I109" t="s" vm="2">
        <v>183</v>
      </c>
    </row>
    <row r="110" spans="2:13">
      <c r="B110" s="32" t="s">
        <v>154</v>
      </c>
      <c r="C110" t="s">
        <v>200</v>
      </c>
      <c r="D110" t="s">
        <v>162</v>
      </c>
    </row>
    <row r="111" spans="2:13">
      <c r="B111" t="s">
        <v>201</v>
      </c>
      <c r="C111" s="33">
        <v>7</v>
      </c>
      <c r="D111" s="33">
        <v>1020.82883</v>
      </c>
      <c r="H111" s="32" t="s">
        <v>154</v>
      </c>
      <c r="I111" s="32" t="s">
        <v>173</v>
      </c>
      <c r="J111" t="s">
        <v>192</v>
      </c>
    </row>
    <row r="112" spans="2:13">
      <c r="B112" t="s">
        <v>46</v>
      </c>
      <c r="C112" s="33">
        <v>14</v>
      </c>
      <c r="D112" s="33">
        <v>1803.3017500000001</v>
      </c>
      <c r="H112" t="s">
        <v>201</v>
      </c>
      <c r="J112" s="33"/>
    </row>
    <row r="113" spans="2:10">
      <c r="B113" t="s">
        <v>33</v>
      </c>
      <c r="C113" s="33">
        <v>22</v>
      </c>
      <c r="D113" s="33">
        <v>2044.2782999999999</v>
      </c>
      <c r="I113" t="s">
        <v>177</v>
      </c>
      <c r="J113" s="33">
        <v>3</v>
      </c>
    </row>
    <row r="114" spans="2:10">
      <c r="B114" t="s">
        <v>62</v>
      </c>
      <c r="C114" s="33">
        <v>22</v>
      </c>
      <c r="D114" s="33">
        <v>2710.4366</v>
      </c>
      <c r="I114" t="s">
        <v>179</v>
      </c>
      <c r="J114" s="33">
        <v>2</v>
      </c>
    </row>
    <row r="115" spans="2:10">
      <c r="B115" t="s">
        <v>157</v>
      </c>
      <c r="C115" s="33">
        <v>65</v>
      </c>
      <c r="D115" s="33">
        <v>7578.84548</v>
      </c>
      <c r="I115" t="s">
        <v>180</v>
      </c>
      <c r="J115" s="33">
        <v>1</v>
      </c>
    </row>
    <row r="116" spans="2:10">
      <c r="I116" t="s">
        <v>182</v>
      </c>
      <c r="J116" s="33">
        <v>1</v>
      </c>
    </row>
    <row r="117" spans="2:10">
      <c r="H117" t="s">
        <v>46</v>
      </c>
      <c r="J117" s="33"/>
    </row>
    <row r="118" spans="2:10">
      <c r="B118" s="32" t="s">
        <v>173</v>
      </c>
      <c r="C118" t="s">
        <v>192</v>
      </c>
      <c r="E118" s="32" t="s">
        <v>173</v>
      </c>
      <c r="F118" s="25" t="s">
        <v>158</v>
      </c>
      <c r="I118" t="s">
        <v>180</v>
      </c>
      <c r="J118" s="33">
        <v>7</v>
      </c>
    </row>
    <row r="119" spans="2:10">
      <c r="B119" t="s">
        <v>176</v>
      </c>
      <c r="C119" s="33">
        <v>7</v>
      </c>
      <c r="E119" t="s">
        <v>176</v>
      </c>
      <c r="F119" s="25">
        <v>9664.5499999999993</v>
      </c>
      <c r="I119" t="s">
        <v>181</v>
      </c>
      <c r="J119" s="33">
        <v>3</v>
      </c>
    </row>
    <row r="120" spans="2:10">
      <c r="B120" t="s">
        <v>177</v>
      </c>
      <c r="C120" s="33">
        <v>15</v>
      </c>
      <c r="E120" t="s">
        <v>177</v>
      </c>
      <c r="F120" s="25">
        <v>15172.83</v>
      </c>
      <c r="I120" t="s">
        <v>182</v>
      </c>
      <c r="J120" s="33">
        <v>4</v>
      </c>
    </row>
    <row r="121" spans="2:10">
      <c r="B121" t="s">
        <v>178</v>
      </c>
      <c r="C121" s="33">
        <v>10</v>
      </c>
      <c r="E121" t="s">
        <v>178</v>
      </c>
      <c r="F121" s="25">
        <v>10990.5</v>
      </c>
      <c r="H121" t="s">
        <v>33</v>
      </c>
      <c r="J121" s="33"/>
    </row>
    <row r="122" spans="2:10">
      <c r="B122" t="s">
        <v>179</v>
      </c>
      <c r="C122" s="33">
        <v>7</v>
      </c>
      <c r="E122" t="s">
        <v>179</v>
      </c>
      <c r="F122" s="25">
        <v>6438.7</v>
      </c>
      <c r="I122" t="s">
        <v>176</v>
      </c>
      <c r="J122" s="33">
        <v>3</v>
      </c>
    </row>
    <row r="123" spans="2:10">
      <c r="B123" t="s">
        <v>180</v>
      </c>
      <c r="C123" s="33">
        <v>13</v>
      </c>
      <c r="E123" t="s">
        <v>180</v>
      </c>
      <c r="F123" s="25">
        <v>17982.919999999998</v>
      </c>
      <c r="I123" t="s">
        <v>177</v>
      </c>
      <c r="J123" s="33">
        <v>7</v>
      </c>
    </row>
    <row r="124" spans="2:10">
      <c r="B124" t="s">
        <v>181</v>
      </c>
      <c r="C124" s="33">
        <v>3</v>
      </c>
      <c r="E124" t="s">
        <v>181</v>
      </c>
      <c r="F124" s="25">
        <v>2814.65</v>
      </c>
      <c r="I124" t="s">
        <v>178</v>
      </c>
      <c r="J124" s="33">
        <v>7</v>
      </c>
    </row>
    <row r="125" spans="2:10">
      <c r="B125" t="s">
        <v>182</v>
      </c>
      <c r="C125" s="33">
        <v>10</v>
      </c>
      <c r="E125" t="s">
        <v>182</v>
      </c>
      <c r="F125" s="25">
        <v>7179.93</v>
      </c>
      <c r="I125" t="s">
        <v>182</v>
      </c>
      <c r="J125" s="33">
        <v>5</v>
      </c>
    </row>
    <row r="126" spans="2:10">
      <c r="B126" t="s">
        <v>157</v>
      </c>
      <c r="C126" s="33">
        <v>65</v>
      </c>
      <c r="E126" t="s">
        <v>157</v>
      </c>
      <c r="F126" s="25">
        <v>70244.08</v>
      </c>
      <c r="H126" t="s">
        <v>62</v>
      </c>
      <c r="J126" s="33"/>
    </row>
    <row r="127" spans="2:10">
      <c r="I127" t="s">
        <v>176</v>
      </c>
      <c r="J127" s="33">
        <v>4</v>
      </c>
    </row>
    <row r="128" spans="2:10">
      <c r="I128" t="s">
        <v>177</v>
      </c>
      <c r="J128" s="33">
        <v>5</v>
      </c>
    </row>
    <row r="129" spans="2:10">
      <c r="I129" t="s">
        <v>178</v>
      </c>
      <c r="J129" s="33">
        <v>3</v>
      </c>
    </row>
    <row r="130" spans="2:10">
      <c r="I130" t="s">
        <v>179</v>
      </c>
      <c r="J130" s="33">
        <v>5</v>
      </c>
    </row>
    <row r="131" spans="2:10">
      <c r="I131" t="s">
        <v>180</v>
      </c>
      <c r="J131" s="33">
        <v>5</v>
      </c>
    </row>
    <row r="132" spans="2:10">
      <c r="H132" t="s">
        <v>157</v>
      </c>
      <c r="J132" s="33">
        <v>65</v>
      </c>
    </row>
    <row r="139" spans="2:10" ht="18.75">
      <c r="B139" s="38">
        <v>5</v>
      </c>
      <c r="C139" s="38" t="s">
        <v>193</v>
      </c>
    </row>
    <row r="141" spans="2:10">
      <c r="C141" s="32" t="s">
        <v>155</v>
      </c>
      <c r="D141" t="s">
        <v>158</v>
      </c>
      <c r="E141" t="s">
        <v>218</v>
      </c>
    </row>
    <row r="142" spans="2:10">
      <c r="C142" t="s">
        <v>79</v>
      </c>
      <c r="D142" s="40">
        <v>3774.85</v>
      </c>
      <c r="E142" s="41">
        <v>5.373904818740597E-2</v>
      </c>
    </row>
    <row r="143" spans="2:10">
      <c r="C143" t="s">
        <v>35</v>
      </c>
      <c r="D143" s="40">
        <v>18621.45</v>
      </c>
      <c r="E143" s="41">
        <v>0.26509636114530932</v>
      </c>
    </row>
    <row r="144" spans="2:10">
      <c r="C144" t="s">
        <v>48</v>
      </c>
      <c r="D144" s="40">
        <v>47847.78</v>
      </c>
      <c r="E144" s="41">
        <v>0.68116459066728463</v>
      </c>
    </row>
    <row r="145" spans="2:6">
      <c r="C145" t="s">
        <v>157</v>
      </c>
      <c r="D145" s="25">
        <v>70244.08</v>
      </c>
      <c r="E145" s="41">
        <v>1</v>
      </c>
    </row>
    <row r="147" spans="2:6">
      <c r="B147" s="32" t="s">
        <v>155</v>
      </c>
      <c r="C147" t="s">
        <v>185</v>
      </c>
      <c r="E147" s="32" t="s">
        <v>155</v>
      </c>
      <c r="F147" t="s">
        <v>169</v>
      </c>
    </row>
    <row r="148" spans="2:6">
      <c r="B148" t="s">
        <v>79</v>
      </c>
      <c r="C148" s="41">
        <v>7.6923076923076927E-2</v>
      </c>
      <c r="E148" t="s">
        <v>79</v>
      </c>
      <c r="F148" s="33">
        <v>5</v>
      </c>
    </row>
    <row r="149" spans="2:6">
      <c r="B149" t="s">
        <v>35</v>
      </c>
      <c r="C149" s="41">
        <v>0.33846153846153848</v>
      </c>
      <c r="E149" t="s">
        <v>35</v>
      </c>
      <c r="F149" s="33">
        <v>22</v>
      </c>
    </row>
    <row r="150" spans="2:6">
      <c r="B150" t="s">
        <v>48</v>
      </c>
      <c r="C150" s="41">
        <v>0.58461538461538465</v>
      </c>
      <c r="E150" t="s">
        <v>48</v>
      </c>
      <c r="F150" s="33">
        <v>38</v>
      </c>
    </row>
    <row r="151" spans="2:6">
      <c r="B151" t="s">
        <v>157</v>
      </c>
      <c r="C151" s="41">
        <v>1</v>
      </c>
      <c r="E151" t="s">
        <v>157</v>
      </c>
      <c r="F151" s="33">
        <v>65</v>
      </c>
    </row>
  </sheetData>
  <pageMargins left="0.7" right="0.7" top="0.75" bottom="0.75" header="0.3" footer="0.3"/>
  <pageSetup paperSize="9" orientation="portrait" r:id="rId31"/>
  <drawing r:id="rId3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25F73-8054-4536-8A2A-DDA9513B5083}">
  <dimension ref="A7:K7"/>
  <sheetViews>
    <sheetView showGridLines="0" tabSelected="1" workbookViewId="0">
      <selection activeCell="U44" sqref="U44"/>
    </sheetView>
  </sheetViews>
  <sheetFormatPr defaultRowHeight="15"/>
  <cols>
    <col min="1" max="1" width="19.5703125" style="36" customWidth="1"/>
  </cols>
  <sheetData>
    <row r="7" spans="11:11" ht="23.25">
      <c r="K7" s="37" t="s">
        <v>172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Data 2</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adetunji Raheem</dc:creator>
  <cp:lastModifiedBy>adetunji Raheem</cp:lastModifiedBy>
  <dcterms:created xsi:type="dcterms:W3CDTF">2026-04-26T10:53:39Z</dcterms:created>
  <dcterms:modified xsi:type="dcterms:W3CDTF">2026-08-11T09:54:15Z</dcterms:modified>
</cp:coreProperties>
</file>